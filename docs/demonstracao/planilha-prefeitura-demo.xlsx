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 2026" sheetId="1" state="visible" r:id="rId1"/>
    <sheet name="Frota a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1F3864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FF1F3864"/>
      <sz val="12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1F386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8" customWidth="1" min="4" max="4"/>
    <col width="18" customWidth="1" min="5" max="5"/>
    <col width="24" customWidth="1" min="6" max="6"/>
    <col width="12" customWidth="1" min="7" max="7"/>
    <col width="15" customWidth="1" min="8" max="8"/>
    <col width="13" customWidth="1" min="9" max="9"/>
    <col width="13" customWidth="1" min="10" max="10"/>
    <col width="13" customWidth="1" min="11" max="11"/>
    <col width="30" customWidth="1" min="12" max="12"/>
  </cols>
  <sheetData>
    <row r="1">
      <c r="A1" s="1" t="inlineStr">
        <is>
          <t>PREFEITURA MUNICIPAL DE RIBEIRÃO MODELO</t>
        </is>
      </c>
    </row>
    <row r="2">
      <c r="A2" s="2" t="inlineStr">
        <is>
          <t>Secretaria Municipal de Educação — Transporte Escolar 2026 — relação de alunos transportados</t>
        </is>
      </c>
    </row>
    <row r="4" ht="30" customHeight="1">
      <c r="A4" s="3" t="inlineStr">
        <is>
          <t>Matrícula</t>
        </is>
      </c>
      <c r="B4" s="3" t="inlineStr">
        <is>
          <t>ALUNO(A)</t>
        </is>
      </c>
      <c r="C4" s="3" t="inlineStr">
        <is>
          <t>Endereço</t>
        </is>
      </c>
      <c r="D4" s="3" t="inlineStr">
        <is>
          <t>Nº</t>
        </is>
      </c>
      <c r="E4" s="3" t="inlineStr">
        <is>
          <t>Bairro</t>
        </is>
      </c>
      <c r="F4" s="3" t="inlineStr">
        <is>
          <t>Escola</t>
        </is>
      </c>
      <c r="G4" s="3" t="inlineStr">
        <is>
          <t>Turno</t>
        </is>
      </c>
      <c r="H4" s="3" t="inlineStr">
        <is>
          <t>Cadeira de Rodas</t>
        </is>
      </c>
      <c r="I4" s="3" t="inlineStr">
        <is>
          <t>Acompanhante</t>
        </is>
      </c>
      <c r="J4" s="3" t="inlineStr">
        <is>
          <t>Latitude</t>
        </is>
      </c>
      <c r="K4" s="3" t="inlineStr">
        <is>
          <t>Longitude</t>
        </is>
      </c>
      <c r="L4" s="3" t="inlineStr">
        <is>
          <t>Observações</t>
        </is>
      </c>
    </row>
    <row r="5">
      <c r="A5" s="4" t="inlineStr">
        <is>
          <t>2026000</t>
        </is>
      </c>
      <c r="B5" s="4" t="inlineStr">
        <is>
          <t xml:space="preserve">  DIEGO ALMEIDA </t>
        </is>
      </c>
      <c r="C5" s="4" t="inlineStr">
        <is>
          <t>Estrada do Assentamento</t>
        </is>
      </c>
      <c r="D5" s="4" t="inlineStr">
        <is>
          <t>229</t>
        </is>
      </c>
      <c r="E5" s="4" t="inlineStr">
        <is>
          <t>Sede Urbana</t>
        </is>
      </c>
      <c r="F5" s="4" t="inlineStr">
        <is>
          <t>EMEF Vila Rural Sul</t>
        </is>
      </c>
      <c r="G5" s="4" t="inlineStr">
        <is>
          <t>Vespertino</t>
        </is>
      </c>
      <c r="H5" s="4" t="inlineStr"/>
      <c r="I5" s="4" t="inlineStr"/>
      <c r="J5" s="4" t="n">
        <v>-39.78704</v>
      </c>
      <c r="K5" s="4" t="n">
        <v>-21.149574</v>
      </c>
      <c r="L5" s="4" t="inlineStr">
        <is>
          <t>descer no ponto do vizinho</t>
        </is>
      </c>
    </row>
    <row r="6">
      <c r="A6" s="5" t="inlineStr">
        <is>
          <t>2026001</t>
        </is>
      </c>
      <c r="B6" s="5" t="inlineStr">
        <is>
          <t>Sônia Nascimento</t>
        </is>
      </c>
      <c r="C6" s="5" t="inlineStr">
        <is>
          <t>Estrada do Assentamento</t>
        </is>
      </c>
      <c r="D6" s="5" t="inlineStr">
        <is>
          <t>461</t>
        </is>
      </c>
      <c r="E6" s="5" t="inlineStr">
        <is>
          <t>Distrito Norte</t>
        </is>
      </c>
      <c r="F6" s="5" t="inlineStr">
        <is>
          <t>EMEF Centro</t>
        </is>
      </c>
      <c r="G6" s="5" t="inlineStr">
        <is>
          <t xml:space="preserve">tarde </t>
        </is>
      </c>
      <c r="H6" s="5" t="inlineStr"/>
      <c r="I6" s="5" t="inlineStr"/>
      <c r="J6" s="5" t="n">
        <v>-21.083148</v>
      </c>
      <c r="K6" s="5" t="n">
        <v>-47.793356</v>
      </c>
      <c r="L6" s="5" t="inlineStr">
        <is>
          <t>porteira fechada, buzinar</t>
        </is>
      </c>
    </row>
    <row r="7">
      <c r="A7" s="4" t="inlineStr">
        <is>
          <t>2026002</t>
        </is>
      </c>
      <c r="B7" s="4" t="inlineStr">
        <is>
          <t>Lucas Almeida</t>
        </is>
      </c>
      <c r="C7" s="4" t="inlineStr">
        <is>
          <t>Linha 3 do Assentamento</t>
        </is>
      </c>
      <c r="D7" s="4" t="inlineStr">
        <is>
          <t>s/n</t>
        </is>
      </c>
      <c r="E7" s="4" t="inlineStr">
        <is>
          <t>Distrito Leste</t>
        </is>
      </c>
      <c r="F7" s="4" t="inlineStr">
        <is>
          <t>EMEF Vila Rural Sul</t>
        </is>
      </c>
      <c r="G7" s="4" t="inlineStr">
        <is>
          <t>MAT</t>
        </is>
      </c>
      <c r="H7" s="4" t="inlineStr"/>
      <c r="I7" s="4" t="inlineStr">
        <is>
          <t>sim</t>
        </is>
      </c>
      <c r="J7" s="4" t="inlineStr"/>
      <c r="K7" s="4" t="inlineStr"/>
      <c r="L7" s="4" t="inlineStr">
        <is>
          <t>família mudou de endereço</t>
        </is>
      </c>
    </row>
    <row r="8">
      <c r="A8" s="5" t="inlineStr">
        <is>
          <t>2026003</t>
        </is>
      </c>
      <c r="B8" s="5" t="inlineStr">
        <is>
          <t>João Costa</t>
        </is>
      </c>
      <c r="C8" s="5" t="inlineStr">
        <is>
          <t>Estrada Municipal RM-040</t>
        </is>
      </c>
      <c r="D8" s="5" t="inlineStr">
        <is>
          <t>26</t>
        </is>
      </c>
      <c r="E8" s="5" t="inlineStr">
        <is>
          <t>Vila Rural Sul</t>
        </is>
      </c>
      <c r="F8" s="5" t="inlineStr">
        <is>
          <t>EMEF Vila Rural Sul</t>
        </is>
      </c>
      <c r="G8" s="5" t="inlineStr">
        <is>
          <t>T</t>
        </is>
      </c>
      <c r="H8" s="5" t="inlineStr"/>
      <c r="I8" s="5" t="inlineStr"/>
      <c r="J8" s="5" t="n">
        <v>-21.186388</v>
      </c>
      <c r="K8" s="5" t="n">
        <v>-47.819498</v>
      </c>
      <c r="L8" s="5" t="inlineStr">
        <is>
          <t>mora depois da ponte</t>
        </is>
      </c>
    </row>
    <row r="9">
      <c r="A9" s="4" t="inlineStr">
        <is>
          <t>2026004</t>
        </is>
      </c>
      <c r="B9" s="4" t="inlineStr">
        <is>
          <t>Sônia Araújo</t>
        </is>
      </c>
      <c r="C9" s="4" t="inlineStr">
        <is>
          <t>Rua do Córrego</t>
        </is>
      </c>
      <c r="D9" s="4" t="inlineStr">
        <is>
          <t>408</t>
        </is>
      </c>
      <c r="E9" s="4" t="inlineStr">
        <is>
          <t>Assent. Oeste</t>
        </is>
      </c>
      <c r="F9" s="4" t="inlineStr">
        <is>
          <t>EMEF Vila Rural Sul</t>
        </is>
      </c>
      <c r="G9" s="4" t="inlineStr">
        <is>
          <t>Tarde</t>
        </is>
      </c>
      <c r="H9" s="4" t="inlineStr">
        <is>
          <t>-</t>
        </is>
      </c>
      <c r="I9" s="4" t="inlineStr"/>
      <c r="J9" s="4" t="n">
        <v>-21.200684</v>
      </c>
      <c r="K9" s="4" t="n">
        <v>-47.884491</v>
      </c>
      <c r="L9" s="4" t="inlineStr">
        <is>
          <t>descer no ponto do vizinho</t>
        </is>
      </c>
    </row>
    <row r="10">
      <c r="A10" s="5" t="inlineStr">
        <is>
          <t>2026005</t>
        </is>
      </c>
      <c r="B10" s="5" t="inlineStr">
        <is>
          <t>Queila Araújo</t>
        </is>
      </c>
      <c r="C10" s="5" t="inlineStr">
        <is>
          <t>Rua Projetada A</t>
        </is>
      </c>
      <c r="D10" s="5" t="inlineStr">
        <is>
          <t>s/n</t>
        </is>
      </c>
      <c r="E10" s="5" t="inlineStr">
        <is>
          <t>Sede Urbana</t>
        </is>
      </c>
      <c r="F10" s="5" t="inlineStr">
        <is>
          <t>EMEF Centro</t>
        </is>
      </c>
      <c r="G10" s="5" t="inlineStr">
        <is>
          <t>Manhã</t>
        </is>
      </c>
      <c r="H10" s="5" t="inlineStr">
        <is>
          <t>N</t>
        </is>
      </c>
      <c r="I10" s="5" t="inlineStr"/>
      <c r="J10" s="5" t="inlineStr"/>
      <c r="K10" s="5" t="inlineStr"/>
      <c r="L10" s="5" t="inlineStr"/>
    </row>
    <row r="11">
      <c r="A11" s="4" t="inlineStr">
        <is>
          <t>2026006</t>
        </is>
      </c>
      <c r="B11" s="4" t="inlineStr">
        <is>
          <t>Wesley Ferreira</t>
        </is>
      </c>
      <c r="C11" s="4" t="inlineStr">
        <is>
          <t>Estrada do Assentamento</t>
        </is>
      </c>
      <c r="D11" s="4" t="inlineStr">
        <is>
          <t>642</t>
        </is>
      </c>
      <c r="E11" s="4" t="inlineStr">
        <is>
          <t>Distrito Norte</t>
        </is>
      </c>
      <c r="F11" s="4" t="inlineStr">
        <is>
          <t>EMEF Vila Rural Sul</t>
        </is>
      </c>
      <c r="G11" s="4" t="inlineStr">
        <is>
          <t xml:space="preserve">tarde </t>
        </is>
      </c>
      <c r="H11" s="4" t="inlineStr"/>
      <c r="I11" s="4" t="inlineStr"/>
      <c r="J11" s="4" t="n">
        <v>-21.111455</v>
      </c>
      <c r="K11" s="4" t="n">
        <v>-47.746942</v>
      </c>
      <c r="L11" s="4" t="inlineStr">
        <is>
          <t>família mudou de endereço</t>
        </is>
      </c>
    </row>
    <row r="12">
      <c r="A12" s="5" t="inlineStr">
        <is>
          <t>2026007</t>
        </is>
      </c>
      <c r="B12" s="5" t="inlineStr">
        <is>
          <t>Ivone Araújo</t>
        </is>
      </c>
      <c r="C12" s="5" t="inlineStr">
        <is>
          <t>Linha 3 do Assentamento</t>
        </is>
      </c>
      <c r="D12" s="5" t="inlineStr">
        <is>
          <t>716</t>
        </is>
      </c>
      <c r="E12" s="5" t="inlineStr">
        <is>
          <t>Distrito Leste</t>
        </is>
      </c>
      <c r="F12" s="5" t="inlineStr">
        <is>
          <t>EMEF Distrito Norte</t>
        </is>
      </c>
      <c r="G12" s="5" t="inlineStr">
        <is>
          <t>Vespertino</t>
        </is>
      </c>
      <c r="H12" s="5" t="inlineStr"/>
      <c r="I12" s="5" t="inlineStr"/>
      <c r="J12" s="5" t="n">
        <v>-21.106121</v>
      </c>
      <c r="K12" s="5" t="n">
        <v>-47.716726</v>
      </c>
      <c r="L12" s="5" t="inlineStr">
        <is>
          <t>porteira fechada, buzinar</t>
        </is>
      </c>
    </row>
    <row r="13">
      <c r="A13" s="4" t="inlineStr">
        <is>
          <t>2026008</t>
        </is>
      </c>
      <c r="B13" s="4" t="inlineStr">
        <is>
          <t>Ana Silva</t>
        </is>
      </c>
      <c r="C13" s="4" t="inlineStr">
        <is>
          <t>Linha 3 do Assentamento</t>
        </is>
      </c>
      <c r="D13" s="4" t="inlineStr">
        <is>
          <t>502</t>
        </is>
      </c>
      <c r="E13" s="4" t="inlineStr">
        <is>
          <t>Vila Rural Sul</t>
        </is>
      </c>
      <c r="F13" s="4" t="inlineStr">
        <is>
          <t>EMEF Distrito Norte</t>
        </is>
      </c>
      <c r="G13" s="4" t="inlineStr">
        <is>
          <t>M</t>
        </is>
      </c>
      <c r="H13" s="4" t="inlineStr"/>
      <c r="I13" s="4" t="inlineStr"/>
      <c r="J13" s="4" t="n">
        <v>-21.185965</v>
      </c>
      <c r="K13" s="4" t="n">
        <v>-47.799989</v>
      </c>
      <c r="L13" s="4" t="inlineStr">
        <is>
          <t>família mudou de endereço</t>
        </is>
      </c>
    </row>
    <row r="14">
      <c r="A14" s="5" t="inlineStr">
        <is>
          <t>2026009</t>
        </is>
      </c>
      <c r="B14" s="5" t="inlineStr">
        <is>
          <t>Paulo Ribeiro</t>
        </is>
      </c>
      <c r="C14" s="5" t="inlineStr">
        <is>
          <t>Estrada Municipal RM-040</t>
        </is>
      </c>
      <c r="D14" s="5" t="inlineStr">
        <is>
          <t>325</t>
        </is>
      </c>
      <c r="E14" s="5" t="inlineStr">
        <is>
          <t>Assent. Oeste</t>
        </is>
      </c>
      <c r="F14" s="5" t="inlineStr">
        <is>
          <t>EMEF Distrito Norte</t>
        </is>
      </c>
      <c r="G14" s="5" t="inlineStr">
        <is>
          <t>MAT</t>
        </is>
      </c>
      <c r="H14" s="5" t="inlineStr"/>
      <c r="I14" s="5" t="inlineStr"/>
      <c r="J14" s="5" t="n">
        <v>-21.156888</v>
      </c>
      <c r="K14" s="5" t="n">
        <v>-47.92231</v>
      </c>
      <c r="L14" s="5" t="inlineStr">
        <is>
          <t>família mudou de endereço</t>
        </is>
      </c>
    </row>
    <row r="15">
      <c r="A15" s="4" t="inlineStr">
        <is>
          <t>2026010</t>
        </is>
      </c>
      <c r="B15" s="4" t="inlineStr">
        <is>
          <t>Ivone Nascimento</t>
        </is>
      </c>
      <c r="C15" s="4" t="inlineStr">
        <is>
          <t>Av. Central</t>
        </is>
      </c>
      <c r="D15" s="4" t="inlineStr">
        <is>
          <t>s/n</t>
        </is>
      </c>
      <c r="E15" s="4" t="inlineStr">
        <is>
          <t>Sede Urbana</t>
        </is>
      </c>
      <c r="F15" s="4" t="inlineStr">
        <is>
          <t>EMEF Distrito Norte</t>
        </is>
      </c>
      <c r="G15" s="4" t="inlineStr">
        <is>
          <t xml:space="preserve">tarde </t>
        </is>
      </c>
      <c r="H15" s="4" t="inlineStr">
        <is>
          <t>NÃO</t>
        </is>
      </c>
      <c r="I15" s="4" t="inlineStr"/>
      <c r="J15" s="4" t="inlineStr"/>
      <c r="K15" s="4" t="inlineStr"/>
      <c r="L15" s="4" t="inlineStr">
        <is>
          <t>descer no ponto do vizinho</t>
        </is>
      </c>
    </row>
    <row r="16">
      <c r="A16" s="5" t="inlineStr">
        <is>
          <t>2026011</t>
        </is>
      </c>
      <c r="B16" s="5" t="inlineStr">
        <is>
          <t>Lucas Souza</t>
        </is>
      </c>
      <c r="C16" s="5" t="inlineStr">
        <is>
          <t>Rua das Acácias</t>
        </is>
      </c>
      <c r="D16" s="5" t="inlineStr">
        <is>
          <t>95</t>
        </is>
      </c>
      <c r="E16" s="5" t="inlineStr">
        <is>
          <t>Distrito Norte</t>
        </is>
      </c>
      <c r="F16" s="5" t="inlineStr">
        <is>
          <t>EMEF Centro</t>
        </is>
      </c>
      <c r="G16" s="5" t="inlineStr">
        <is>
          <t xml:space="preserve">tarde </t>
        </is>
      </c>
      <c r="H16" s="5" t="inlineStr"/>
      <c r="I16" s="5" t="inlineStr"/>
      <c r="J16" s="5" t="n">
        <v>-21.068602</v>
      </c>
      <c r="K16" s="5" t="n">
        <v>-47.791218</v>
      </c>
      <c r="L16" s="5" t="inlineStr"/>
    </row>
    <row r="17">
      <c r="A17" s="4" t="inlineStr">
        <is>
          <t>2026012</t>
        </is>
      </c>
      <c r="B17" s="4" t="inlineStr">
        <is>
          <t>Tiago Ribeiro</t>
        </is>
      </c>
      <c r="C17" s="4" t="inlineStr">
        <is>
          <t>Linha 3 do Assentamento</t>
        </is>
      </c>
      <c r="D17" s="4" t="inlineStr">
        <is>
          <t>275</t>
        </is>
      </c>
      <c r="E17" s="4" t="inlineStr">
        <is>
          <t>Distrito Leste</t>
        </is>
      </c>
      <c r="F17" s="4" t="inlineStr">
        <is>
          <t>EMEF Vila Rural Sul</t>
        </is>
      </c>
      <c r="G17" s="4" t="inlineStr">
        <is>
          <t>T</t>
        </is>
      </c>
      <c r="H17" s="4" t="inlineStr"/>
      <c r="I17" s="4" t="inlineStr"/>
      <c r="J17" s="4" t="n">
        <v>-21.165784</v>
      </c>
      <c r="K17" s="4" t="n">
        <v>-47.750963</v>
      </c>
      <c r="L17" s="4" t="inlineStr">
        <is>
          <t>descer no ponto do vizinho</t>
        </is>
      </c>
    </row>
    <row r="18">
      <c r="A18" s="5" t="inlineStr">
        <is>
          <t>2026013</t>
        </is>
      </c>
      <c r="B18" s="5" t="inlineStr">
        <is>
          <t>Wesley Barbosa</t>
        </is>
      </c>
      <c r="C18" s="5" t="inlineStr">
        <is>
          <t>Linha 3 do Assentamento</t>
        </is>
      </c>
      <c r="D18" s="5" t="inlineStr">
        <is>
          <t>s/n</t>
        </is>
      </c>
      <c r="E18" s="5" t="inlineStr">
        <is>
          <t>Vila Rural Sul</t>
        </is>
      </c>
      <c r="F18" s="5" t="inlineStr">
        <is>
          <t>EMEF Centro</t>
        </is>
      </c>
      <c r="G18" s="5" t="inlineStr">
        <is>
          <t xml:space="preserve">tarde </t>
        </is>
      </c>
      <c r="H18" s="5" t="inlineStr"/>
      <c r="I18" s="5" t="inlineStr"/>
      <c r="J18" s="5" t="inlineStr"/>
      <c r="K18" s="5" t="inlineStr"/>
      <c r="L18" s="5" t="inlineStr">
        <is>
          <t>família mudou de endereço</t>
        </is>
      </c>
    </row>
    <row r="19">
      <c r="A19" s="4" t="inlineStr">
        <is>
          <t>2026014</t>
        </is>
      </c>
      <c r="B19" s="4" t="inlineStr">
        <is>
          <t>João Souza</t>
        </is>
      </c>
      <c r="C19" s="4" t="inlineStr">
        <is>
          <t>Estrada Municipal RM-040</t>
        </is>
      </c>
      <c r="D19" s="4" t="inlineStr">
        <is>
          <t>520</t>
        </is>
      </c>
      <c r="E19" s="4" t="inlineStr">
        <is>
          <t>Assent. Oeste</t>
        </is>
      </c>
      <c r="F19" s="4" t="inlineStr">
        <is>
          <t>EMEF Distrito Norte</t>
        </is>
      </c>
      <c r="G19" s="4" t="inlineStr">
        <is>
          <t>Vespertino</t>
        </is>
      </c>
      <c r="H19" s="4" t="inlineStr"/>
      <c r="I19" s="4" t="inlineStr"/>
      <c r="J19" s="4" t="n">
        <v>-21.19719</v>
      </c>
      <c r="K19" s="4" t="n">
        <v>-47.914172</v>
      </c>
      <c r="L19" s="4" t="inlineStr"/>
    </row>
    <row r="20">
      <c r="A20" s="5" t="inlineStr">
        <is>
          <t>2026015</t>
        </is>
      </c>
      <c r="B20" s="5" t="inlineStr">
        <is>
          <t>Marina Silva</t>
        </is>
      </c>
      <c r="C20" s="5" t="inlineStr">
        <is>
          <t>Sítio Boa Vista</t>
        </is>
      </c>
      <c r="D20" s="5" t="inlineStr">
        <is>
          <t>s/n</t>
        </is>
      </c>
      <c r="E20" s="5" t="inlineStr">
        <is>
          <t>Sede Urbana</t>
        </is>
      </c>
      <c r="F20" s="5" t="inlineStr">
        <is>
          <t>EMEF Centro</t>
        </is>
      </c>
      <c r="G20" s="5" t="inlineStr">
        <is>
          <t>Manhã</t>
        </is>
      </c>
      <c r="H20" s="5" t="inlineStr">
        <is>
          <t>-</t>
        </is>
      </c>
      <c r="I20" s="5" t="inlineStr"/>
      <c r="J20" s="5" t="inlineStr"/>
      <c r="K20" s="5" t="inlineStr"/>
      <c r="L20" s="5" t="inlineStr"/>
    </row>
    <row r="21">
      <c r="A21" s="4" t="inlineStr">
        <is>
          <t>2026016</t>
        </is>
      </c>
      <c r="B21" s="4" t="inlineStr">
        <is>
          <t>Ana Araújo</t>
        </is>
      </c>
      <c r="C21" s="4" t="inlineStr">
        <is>
          <t>Estrada do Assentamento</t>
        </is>
      </c>
      <c r="D21" s="4" t="inlineStr">
        <is>
          <t>510</t>
        </is>
      </c>
      <c r="E21" s="4" t="inlineStr">
        <is>
          <t>Distrito Norte</t>
        </is>
      </c>
      <c r="F21" s="4" t="inlineStr">
        <is>
          <t>EMEF Distrito Norte</t>
        </is>
      </c>
      <c r="G21" s="4" t="inlineStr">
        <is>
          <t>manha</t>
        </is>
      </c>
      <c r="H21" s="4" t="inlineStr"/>
      <c r="I21" s="4" t="inlineStr"/>
      <c r="J21" s="4" t="n">
        <v>-21.079032</v>
      </c>
      <c r="K21" s="4" t="n">
        <v>-47.772992</v>
      </c>
      <c r="L21" s="4" t="inlineStr">
        <is>
          <t>mora depois da ponte</t>
        </is>
      </c>
    </row>
    <row r="22">
      <c r="A22" s="5" t="inlineStr">
        <is>
          <t>2026017</t>
        </is>
      </c>
      <c r="B22" s="5" t="inlineStr">
        <is>
          <t>Tiago Almeida</t>
        </is>
      </c>
      <c r="C22" s="5" t="inlineStr">
        <is>
          <t>Linha 3 do Assentamento</t>
        </is>
      </c>
      <c r="D22" s="5" t="inlineStr">
        <is>
          <t>409</t>
        </is>
      </c>
      <c r="E22" s="5" t="inlineStr">
        <is>
          <t>Distrito Leste</t>
        </is>
      </c>
      <c r="F22" s="5" t="inlineStr">
        <is>
          <t>EMEF Centro</t>
        </is>
      </c>
      <c r="G22" s="5" t="inlineStr">
        <is>
          <t>M</t>
        </is>
      </c>
      <c r="H22" s="5" t="inlineStr"/>
      <c r="I22" s="5" t="inlineStr"/>
      <c r="J22" s="5" t="n">
        <v>-21.158134</v>
      </c>
      <c r="K22" s="5" t="n">
        <v>-47.70566</v>
      </c>
      <c r="L22" s="5" t="inlineStr">
        <is>
          <t>família mudou de endereço</t>
        </is>
      </c>
    </row>
    <row r="23">
      <c r="A23" s="4" t="inlineStr">
        <is>
          <t>2026018</t>
        </is>
      </c>
      <c r="B23" s="4" t="inlineStr">
        <is>
          <t>Bruno Nascimento</t>
        </is>
      </c>
      <c r="C23" s="4" t="inlineStr">
        <is>
          <t>Rua Projetada A</t>
        </is>
      </c>
      <c r="D23" s="4" t="inlineStr">
        <is>
          <t>s/n</t>
        </is>
      </c>
      <c r="E23" s="4" t="inlineStr">
        <is>
          <t>Vila Rural Sul</t>
        </is>
      </c>
      <c r="F23" s="4" t="inlineStr">
        <is>
          <t>EMEF Distrito Norte</t>
        </is>
      </c>
      <c r="G23" s="4" t="inlineStr">
        <is>
          <t>Manhã</t>
        </is>
      </c>
      <c r="H23" s="4" t="inlineStr"/>
      <c r="I23" s="4" t="inlineStr"/>
      <c r="J23" s="4" t="inlineStr"/>
      <c r="K23" s="4" t="inlineStr"/>
      <c r="L23" s="4" t="inlineStr">
        <is>
          <t>família mudou de endereço</t>
        </is>
      </c>
    </row>
    <row r="24">
      <c r="A24" s="5" t="inlineStr">
        <is>
          <t>2026019</t>
        </is>
      </c>
      <c r="B24" s="5" t="inlineStr">
        <is>
          <t>Elis Oliveira</t>
        </is>
      </c>
      <c r="C24" s="5" t="inlineStr">
        <is>
          <t>Linha 3 do Assentamento</t>
        </is>
      </c>
      <c r="D24" s="5" t="inlineStr">
        <is>
          <t>425</t>
        </is>
      </c>
      <c r="E24" s="5" t="inlineStr">
        <is>
          <t>Assent. Oeste</t>
        </is>
      </c>
      <c r="F24" s="5" t="inlineStr">
        <is>
          <t>EMEF Centro</t>
        </is>
      </c>
      <c r="G24" s="5" t="inlineStr">
        <is>
          <t>Vespertino</t>
        </is>
      </c>
      <c r="H24" s="5" t="inlineStr"/>
      <c r="I24" s="5" t="inlineStr"/>
      <c r="J24" s="5" t="n">
        <v>-21.19512</v>
      </c>
      <c r="K24" s="5" t="n">
        <v>-47.903175</v>
      </c>
      <c r="L24" s="5" t="inlineStr">
        <is>
          <t>porteira fechada, buzinar</t>
        </is>
      </c>
    </row>
    <row r="25">
      <c r="A25" s="4" t="inlineStr">
        <is>
          <t>2026020</t>
        </is>
      </c>
      <c r="B25" s="4" t="inlineStr">
        <is>
          <t>Olívia Nascimento</t>
        </is>
      </c>
      <c r="C25" s="4" t="inlineStr">
        <is>
          <t>Sítio Boa Vista</t>
        </is>
      </c>
      <c r="D25" s="4" t="inlineStr">
        <is>
          <t>s/n</t>
        </is>
      </c>
      <c r="E25" s="4" t="inlineStr">
        <is>
          <t>Sede Urbana</t>
        </is>
      </c>
      <c r="F25" s="4" t="inlineStr">
        <is>
          <t>EMEF Distrito Norte</t>
        </is>
      </c>
      <c r="G25" s="4" t="inlineStr">
        <is>
          <t xml:space="preserve">tarde </t>
        </is>
      </c>
      <c r="H25" s="4" t="inlineStr"/>
      <c r="I25" s="4" t="inlineStr"/>
      <c r="J25" s="4" t="inlineStr"/>
      <c r="K25" s="4" t="inlineStr"/>
      <c r="L25" s="4" t="inlineStr">
        <is>
          <t>descer no ponto do vizinho</t>
        </is>
      </c>
    </row>
    <row r="26">
      <c r="A26" s="5" t="inlineStr">
        <is>
          <t>2026021</t>
        </is>
      </c>
      <c r="B26" s="5" t="inlineStr">
        <is>
          <t>Diego Araújo</t>
        </is>
      </c>
      <c r="C26" s="5" t="inlineStr">
        <is>
          <t>Estrada Municipal RM-040</t>
        </is>
      </c>
      <c r="D26" s="5" t="inlineStr">
        <is>
          <t>s/n</t>
        </is>
      </c>
      <c r="E26" s="5" t="inlineStr">
        <is>
          <t>Distrito Norte</t>
        </is>
      </c>
      <c r="F26" s="5" t="inlineStr">
        <is>
          <t>EMEF Centro</t>
        </is>
      </c>
      <c r="G26" s="5" t="inlineStr">
        <is>
          <t>M</t>
        </is>
      </c>
      <c r="H26" s="5" t="inlineStr"/>
      <c r="I26" s="5" t="inlineStr"/>
      <c r="J26" s="5" t="inlineStr"/>
      <c r="K26" s="5" t="inlineStr"/>
      <c r="L26" s="5" t="inlineStr">
        <is>
          <t>descer no ponto do vizinho</t>
        </is>
      </c>
    </row>
    <row r="27">
      <c r="A27" s="4" t="inlineStr">
        <is>
          <t>2026022</t>
        </is>
      </c>
      <c r="B27" s="4" t="inlineStr">
        <is>
          <t>Úrsula Almeida</t>
        </is>
      </c>
      <c r="C27" s="4" t="inlineStr">
        <is>
          <t>Av. Central</t>
        </is>
      </c>
      <c r="D27" s="4" t="inlineStr">
        <is>
          <t>28</t>
        </is>
      </c>
      <c r="E27" s="4" t="inlineStr">
        <is>
          <t>Distrito Leste</t>
        </is>
      </c>
      <c r="F27" s="4" t="inlineStr">
        <is>
          <t>EMEF Distrito Norte</t>
        </is>
      </c>
      <c r="G27" s="4" t="inlineStr">
        <is>
          <t>manha</t>
        </is>
      </c>
      <c r="H27" s="4" t="inlineStr"/>
      <c r="I27" s="4" t="inlineStr"/>
      <c r="J27" s="4" t="n">
        <v>-21.120735</v>
      </c>
      <c r="K27" s="4" t="n">
        <v>-47.696234</v>
      </c>
      <c r="L27" s="4" t="inlineStr">
        <is>
          <t>família mudou de endereço</t>
        </is>
      </c>
    </row>
    <row r="28">
      <c r="A28" s="5" t="inlineStr">
        <is>
          <t>2026023</t>
        </is>
      </c>
      <c r="B28" s="5" t="inlineStr">
        <is>
          <t>GABRIELA SOUZA</t>
        </is>
      </c>
      <c r="C28" s="5" t="inlineStr">
        <is>
          <t>Rua Projetada A</t>
        </is>
      </c>
      <c r="D28" s="5" t="inlineStr">
        <is>
          <t>584</t>
        </is>
      </c>
      <c r="E28" s="5" t="inlineStr">
        <is>
          <t>Vila Rural Sul</t>
        </is>
      </c>
      <c r="F28" s="5" t="inlineStr">
        <is>
          <t>EMEF Distrito Norte</t>
        </is>
      </c>
      <c r="G28" s="5" t="inlineStr">
        <is>
          <t>Tarde</t>
        </is>
      </c>
      <c r="H28" s="5" t="inlineStr"/>
      <c r="I28" s="5" t="inlineStr"/>
      <c r="J28" s="5" t="n">
        <v>-21.231684</v>
      </c>
      <c r="K28" s="5" t="n">
        <v>-47.815905</v>
      </c>
      <c r="L28" s="5" t="inlineStr">
        <is>
          <t>porteira fechada, buzinar</t>
        </is>
      </c>
    </row>
    <row r="29">
      <c r="A29" s="4" t="inlineStr">
        <is>
          <t>2026024</t>
        </is>
      </c>
      <c r="B29" s="4" t="inlineStr">
        <is>
          <t>Diego Rodrigues</t>
        </is>
      </c>
      <c r="C29" s="4" t="inlineStr">
        <is>
          <t>Av. Central</t>
        </is>
      </c>
      <c r="D29" s="4" t="inlineStr">
        <is>
          <t>662</t>
        </is>
      </c>
      <c r="E29" s="4" t="inlineStr">
        <is>
          <t>Assent. Oeste</t>
        </is>
      </c>
      <c r="F29" s="4" t="inlineStr">
        <is>
          <t>EMEF Vila Rural Sul</t>
        </is>
      </c>
      <c r="G29" s="4" t="inlineStr">
        <is>
          <t>MAT</t>
        </is>
      </c>
      <c r="H29" s="4" t="inlineStr"/>
      <c r="I29" s="4" t="inlineStr"/>
      <c r="J29" s="4" t="n">
        <v>-21.155236</v>
      </c>
      <c r="K29" s="4" t="n">
        <v>-47.864271</v>
      </c>
      <c r="L29" s="4" t="inlineStr"/>
    </row>
    <row r="30">
      <c r="A30" s="5" t="inlineStr">
        <is>
          <t>2026025</t>
        </is>
      </c>
      <c r="B30" s="5" t="inlineStr">
        <is>
          <t>João Almeida</t>
        </is>
      </c>
      <c r="C30" s="5" t="inlineStr">
        <is>
          <t>Estrada Municipal RM-040</t>
        </is>
      </c>
      <c r="D30" s="5" t="inlineStr">
        <is>
          <t>425</t>
        </is>
      </c>
      <c r="E30" s="5" t="inlineStr">
        <is>
          <t>Sede Urbana</t>
        </is>
      </c>
      <c r="F30" s="5" t="inlineStr">
        <is>
          <t>EMEF Centro</t>
        </is>
      </c>
      <c r="G30" s="5" t="inlineStr">
        <is>
          <t>Manhã</t>
        </is>
      </c>
      <c r="H30" s="5" t="inlineStr"/>
      <c r="I30" s="5" t="inlineStr">
        <is>
          <t>sim</t>
        </is>
      </c>
      <c r="J30" s="5" t="n">
        <v>-21.15878</v>
      </c>
      <c r="K30" s="5" t="n">
        <v>-47.817501</v>
      </c>
      <c r="L30" s="5" t="inlineStr"/>
    </row>
    <row r="31">
      <c r="A31" s="4" t="inlineStr">
        <is>
          <t>2026026</t>
        </is>
      </c>
      <c r="B31" s="4" t="inlineStr">
        <is>
          <t>Diego Gomes</t>
        </is>
      </c>
      <c r="C31" s="4" t="inlineStr">
        <is>
          <t>Travessa São José</t>
        </is>
      </c>
      <c r="D31" s="4" t="inlineStr">
        <is>
          <t>799</t>
        </is>
      </c>
      <c r="E31" s="4" t="inlineStr">
        <is>
          <t>Distrito Norte</t>
        </is>
      </c>
      <c r="F31" s="4" t="inlineStr">
        <is>
          <t>EMEF Distrito Norte</t>
        </is>
      </c>
      <c r="G31" s="4" t="inlineStr">
        <is>
          <t>Manhã</t>
        </is>
      </c>
      <c r="H31" s="4" t="inlineStr">
        <is>
          <t>NÃO</t>
        </is>
      </c>
      <c r="I31" s="4" t="inlineStr"/>
      <c r="J31" s="4" t="n">
        <v>-21.060715</v>
      </c>
      <c r="K31" s="4" t="n">
        <v>-47.748554</v>
      </c>
      <c r="L31" s="4" t="inlineStr"/>
    </row>
    <row r="32">
      <c r="A32" s="5" t="inlineStr">
        <is>
          <t>2026027</t>
        </is>
      </c>
      <c r="B32" s="5" t="inlineStr">
        <is>
          <t>Tiago Nascimento</t>
        </is>
      </c>
      <c r="C32" s="5" t="inlineStr">
        <is>
          <t>Travessa São José</t>
        </is>
      </c>
      <c r="D32" s="5" t="inlineStr">
        <is>
          <t>882</t>
        </is>
      </c>
      <c r="E32" s="5" t="inlineStr">
        <is>
          <t>Distrito Leste</t>
        </is>
      </c>
      <c r="F32" s="5" t="inlineStr">
        <is>
          <t>EMEF Vila Rural Sul</t>
        </is>
      </c>
      <c r="G32" s="5" t="inlineStr">
        <is>
          <t>Tarde</t>
        </is>
      </c>
      <c r="H32" s="5" t="inlineStr"/>
      <c r="I32" s="5" t="inlineStr"/>
      <c r="J32" s="5" t="n">
        <v>-21.128037</v>
      </c>
      <c r="K32" s="5" t="n">
        <v>-47.745878</v>
      </c>
      <c r="L32" s="5" t="inlineStr">
        <is>
          <t>estrada ruim em dia de chuva</t>
        </is>
      </c>
    </row>
    <row r="33">
      <c r="A33" s="4" t="inlineStr">
        <is>
          <t>2026028</t>
        </is>
      </c>
      <c r="B33" s="4" t="inlineStr">
        <is>
          <t>Bruno Barbosa</t>
        </is>
      </c>
      <c r="C33" s="4" t="inlineStr">
        <is>
          <t>Travessa São José</t>
        </is>
      </c>
      <c r="D33" s="4" t="inlineStr">
        <is>
          <t>297</t>
        </is>
      </c>
      <c r="E33" s="4" t="inlineStr">
        <is>
          <t>Vila Rural Sul</t>
        </is>
      </c>
      <c r="F33" s="4" t="inlineStr">
        <is>
          <t>EMEF Vila Rural Sul</t>
        </is>
      </c>
      <c r="G33" s="4" t="inlineStr">
        <is>
          <t>MAT</t>
        </is>
      </c>
      <c r="H33" s="4" t="inlineStr"/>
      <c r="I33" s="4" t="inlineStr"/>
      <c r="J33" s="4" t="n">
        <v>-21.18624</v>
      </c>
      <c r="K33" s="4" t="n">
        <v>-47.851611</v>
      </c>
      <c r="L33" s="4" t="inlineStr"/>
    </row>
    <row r="34">
      <c r="A34" s="5" t="inlineStr">
        <is>
          <t>2026029</t>
        </is>
      </c>
      <c r="B34" s="5" t="inlineStr">
        <is>
          <t>Rafael Almeida</t>
        </is>
      </c>
      <c r="C34" s="5" t="inlineStr">
        <is>
          <t>Av. Central</t>
        </is>
      </c>
      <c r="D34" s="5" t="inlineStr">
        <is>
          <t>634</t>
        </is>
      </c>
      <c r="E34" s="5" t="inlineStr">
        <is>
          <t>Assent. Oeste</t>
        </is>
      </c>
      <c r="F34" s="5" t="inlineStr">
        <is>
          <t>EMEF Centro</t>
        </is>
      </c>
      <c r="G34" s="5" t="inlineStr">
        <is>
          <t>MAT</t>
        </is>
      </c>
      <c r="H34" s="5" t="inlineStr"/>
      <c r="I34" s="5" t="inlineStr"/>
      <c r="J34" s="5" t="n">
        <v>-21.205508</v>
      </c>
      <c r="K34" s="5" t="n">
        <v>-47.845229</v>
      </c>
      <c r="L34" s="5" t="inlineStr">
        <is>
          <t>porteira fechada, buzinar</t>
        </is>
      </c>
    </row>
    <row r="35">
      <c r="A35" s="4" t="inlineStr">
        <is>
          <t>2026030</t>
        </is>
      </c>
      <c r="B35" s="4" t="inlineStr">
        <is>
          <t>Ana Rodrigues</t>
        </is>
      </c>
      <c r="C35" s="4" t="inlineStr">
        <is>
          <t>Rua Projetada A</t>
        </is>
      </c>
      <c r="D35" s="4" t="inlineStr">
        <is>
          <t>796</t>
        </is>
      </c>
      <c r="E35" s="4" t="inlineStr">
        <is>
          <t>Sede Urbana</t>
        </is>
      </c>
      <c r="F35" s="4" t="inlineStr">
        <is>
          <t>EMEF Distrito Norte</t>
        </is>
      </c>
      <c r="G35" s="4" t="inlineStr">
        <is>
          <t>M</t>
        </is>
      </c>
      <c r="H35" s="4" t="inlineStr"/>
      <c r="I35" s="4" t="inlineStr"/>
      <c r="J35" s="4" t="n">
        <v>-21.155185</v>
      </c>
      <c r="K35" s="4" t="n">
        <v>-47.804172</v>
      </c>
      <c r="L35" s="4" t="inlineStr"/>
    </row>
    <row r="36">
      <c r="A36" s="5" t="inlineStr">
        <is>
          <t>2026031</t>
        </is>
      </c>
      <c r="B36" s="5" t="inlineStr">
        <is>
          <t xml:space="preserve">  Vinícius Barbosa </t>
        </is>
      </c>
      <c r="C36" s="5" t="inlineStr">
        <is>
          <t>Linha 3 do Assentamento</t>
        </is>
      </c>
      <c r="D36" s="5" t="inlineStr">
        <is>
          <t>s/n</t>
        </is>
      </c>
      <c r="E36" s="5" t="inlineStr">
        <is>
          <t>Distrito Norte</t>
        </is>
      </c>
      <c r="F36" s="5" t="inlineStr">
        <is>
          <t>EMEF Distrito Norte</t>
        </is>
      </c>
      <c r="G36" s="5" t="inlineStr">
        <is>
          <t>Tarde</t>
        </is>
      </c>
      <c r="H36" s="5" t="inlineStr"/>
      <c r="I36" s="5" t="inlineStr"/>
      <c r="J36" s="5" t="inlineStr"/>
      <c r="K36" s="5" t="inlineStr"/>
      <c r="L36" s="5" t="inlineStr"/>
    </row>
    <row r="37">
      <c r="A37" s="4" t="inlineStr">
        <is>
          <t>2026032</t>
        </is>
      </c>
      <c r="B37" s="4" t="inlineStr">
        <is>
          <t>Ivone Araújo</t>
        </is>
      </c>
      <c r="C37" s="4" t="inlineStr">
        <is>
          <t>Estrada do Assentamento</t>
        </is>
      </c>
      <c r="D37" s="4" t="inlineStr">
        <is>
          <t>860</t>
        </is>
      </c>
      <c r="E37" s="4" t="inlineStr">
        <is>
          <t>Distrito Leste</t>
        </is>
      </c>
      <c r="F37" s="4" t="inlineStr">
        <is>
          <t>EMEF Centro</t>
        </is>
      </c>
      <c r="G37" s="4" t="inlineStr">
        <is>
          <t>Manhã</t>
        </is>
      </c>
      <c r="H37" s="4" t="inlineStr"/>
      <c r="I37" s="4" t="inlineStr"/>
      <c r="J37" s="4" t="n">
        <v>-21.156061</v>
      </c>
      <c r="K37" s="4" t="n">
        <v>-47.732597</v>
      </c>
      <c r="L37" s="4" t="inlineStr">
        <is>
          <t>família mudou de endereço</t>
        </is>
      </c>
    </row>
    <row r="38">
      <c r="A38" s="5" t="inlineStr">
        <is>
          <t>2026033</t>
        </is>
      </c>
      <c r="B38" s="5" t="inlineStr">
        <is>
          <t>Ivone Almeida</t>
        </is>
      </c>
      <c r="C38" s="5" t="inlineStr">
        <is>
          <t>Rua das Acácias</t>
        </is>
      </c>
      <c r="D38" s="5" t="inlineStr">
        <is>
          <t>643</t>
        </is>
      </c>
      <c r="E38" s="5" t="inlineStr">
        <is>
          <t>Vila Rural Sul</t>
        </is>
      </c>
      <c r="F38" s="5" t="inlineStr">
        <is>
          <t>EMEF Centro</t>
        </is>
      </c>
      <c r="G38" s="5" t="inlineStr">
        <is>
          <t xml:space="preserve">tarde </t>
        </is>
      </c>
      <c r="H38" s="5" t="inlineStr"/>
      <c r="I38" s="5" t="inlineStr"/>
      <c r="J38" s="5" t="n">
        <v>-21.195656</v>
      </c>
      <c r="K38" s="5" t="n">
        <v>-47.84887</v>
      </c>
      <c r="L38" s="5" t="inlineStr">
        <is>
          <t>família mudou de endereço</t>
        </is>
      </c>
    </row>
    <row r="39">
      <c r="A39" s="4" t="inlineStr">
        <is>
          <t>2026034</t>
        </is>
      </c>
      <c r="B39" s="4" t="inlineStr">
        <is>
          <t>Elis Barbosa</t>
        </is>
      </c>
      <c r="C39" s="4" t="inlineStr">
        <is>
          <t>Sítio Boa Vista</t>
        </is>
      </c>
      <c r="D39" s="4" t="inlineStr">
        <is>
          <t>s/n</t>
        </is>
      </c>
      <c r="E39" s="4" t="inlineStr">
        <is>
          <t>Assent. Oeste</t>
        </is>
      </c>
      <c r="F39" s="4" t="inlineStr">
        <is>
          <t>EMEF Vila Rural Sul</t>
        </is>
      </c>
      <c r="G39" s="4" t="inlineStr">
        <is>
          <t>T</t>
        </is>
      </c>
      <c r="H39" s="4" t="inlineStr">
        <is>
          <t>N</t>
        </is>
      </c>
      <c r="I39" s="4" t="inlineStr"/>
      <c r="J39" s="4" t="inlineStr"/>
      <c r="K39" s="4" t="inlineStr"/>
      <c r="L39" s="4" t="inlineStr">
        <is>
          <t>porteira fechada, buzinar</t>
        </is>
      </c>
    </row>
    <row r="40">
      <c r="A40" s="5" t="inlineStr">
        <is>
          <t>2026035</t>
        </is>
      </c>
      <c r="B40" s="5" t="inlineStr">
        <is>
          <t>Karina Martins</t>
        </is>
      </c>
      <c r="C40" s="5" t="inlineStr">
        <is>
          <t>Linha 3 do Assentamento</t>
        </is>
      </c>
      <c r="D40" s="5" t="inlineStr">
        <is>
          <t>831</t>
        </is>
      </c>
      <c r="E40" s="5" t="inlineStr">
        <is>
          <t>Sede Urbana</t>
        </is>
      </c>
      <c r="F40" s="5" t="inlineStr">
        <is>
          <t>EMEF Distrito Norte</t>
        </is>
      </c>
      <c r="G40" s="5" t="inlineStr">
        <is>
          <t>Tarde</t>
        </is>
      </c>
      <c r="H40" s="5" t="inlineStr"/>
      <c r="I40" s="5" t="inlineStr"/>
      <c r="J40" s="5" t="n">
        <v>-21.155072</v>
      </c>
      <c r="K40" s="5" t="n">
        <v>-47.795068</v>
      </c>
      <c r="L40" s="5" t="inlineStr"/>
    </row>
    <row r="41">
      <c r="A41" s="4" t="inlineStr">
        <is>
          <t>2026036</t>
        </is>
      </c>
      <c r="B41" s="4" t="inlineStr">
        <is>
          <t>Paulo Silva</t>
        </is>
      </c>
      <c r="C41" s="4" t="inlineStr">
        <is>
          <t>Linha 3 do Assentamento</t>
        </is>
      </c>
      <c r="D41" s="4" t="inlineStr">
        <is>
          <t>s/n</t>
        </is>
      </c>
      <c r="E41" s="4" t="inlineStr">
        <is>
          <t>Distrito Norte</t>
        </is>
      </c>
      <c r="F41" s="4" t="inlineStr">
        <is>
          <t>EMEF Vila Rural Sul</t>
        </is>
      </c>
      <c r="G41" s="4" t="inlineStr">
        <is>
          <t>Vespertino</t>
        </is>
      </c>
      <c r="H41" s="4" t="inlineStr"/>
      <c r="I41" s="4" t="inlineStr"/>
      <c r="J41" s="4" t="inlineStr"/>
      <c r="K41" s="4" t="inlineStr"/>
      <c r="L41" s="4" t="inlineStr"/>
    </row>
    <row r="42">
      <c r="A42" s="5" t="inlineStr">
        <is>
          <t>2026037</t>
        </is>
      </c>
      <c r="B42" s="5" t="inlineStr">
        <is>
          <t>João Almeida</t>
        </is>
      </c>
      <c r="C42" s="5" t="inlineStr">
        <is>
          <t>Estrada do Assentamento</t>
        </is>
      </c>
      <c r="D42" s="5" t="inlineStr">
        <is>
          <t>19</t>
        </is>
      </c>
      <c r="E42" s="5" t="inlineStr">
        <is>
          <t>Distrito Leste</t>
        </is>
      </c>
      <c r="F42" s="5" t="inlineStr">
        <is>
          <t>EMEF Vila Rural Sul</t>
        </is>
      </c>
      <c r="G42" s="5" t="inlineStr">
        <is>
          <t>M</t>
        </is>
      </c>
      <c r="H42" s="5" t="inlineStr">
        <is>
          <t>-</t>
        </is>
      </c>
      <c r="I42" s="5" t="inlineStr"/>
      <c r="J42" s="5" t="n">
        <v>-21.155979</v>
      </c>
      <c r="K42" s="5" t="n">
        <v>-47.705399</v>
      </c>
      <c r="L42" s="5" t="inlineStr">
        <is>
          <t>porteira fechada, buzinar</t>
        </is>
      </c>
    </row>
    <row r="43">
      <c r="A43" s="4" t="inlineStr">
        <is>
          <t>2026038</t>
        </is>
      </c>
      <c r="B43" s="4" t="inlineStr">
        <is>
          <t>Sônia Silva</t>
        </is>
      </c>
      <c r="C43" s="4" t="inlineStr">
        <is>
          <t>Sítio Boa Vista</t>
        </is>
      </c>
      <c r="D43" s="4" t="inlineStr">
        <is>
          <t>s/n</t>
        </is>
      </c>
      <c r="E43" s="4" t="inlineStr">
        <is>
          <t>Vila Rural Sul</t>
        </is>
      </c>
      <c r="F43" s="4" t="inlineStr">
        <is>
          <t>EMEF Vila Rural Sul</t>
        </is>
      </c>
      <c r="G43" s="4" t="inlineStr">
        <is>
          <t>manha</t>
        </is>
      </c>
      <c r="H43" s="4" t="inlineStr">
        <is>
          <t>N</t>
        </is>
      </c>
      <c r="I43" s="4" t="inlineStr"/>
      <c r="J43" s="4" t="inlineStr"/>
      <c r="K43" s="4" t="inlineStr"/>
      <c r="L43" s="4" t="inlineStr"/>
    </row>
    <row r="44">
      <c r="A44" s="5" t="inlineStr">
        <is>
          <t>2026039</t>
        </is>
      </c>
      <c r="B44" s="5" t="inlineStr">
        <is>
          <t>Yasmin Rodrigues</t>
        </is>
      </c>
      <c r="C44" s="5" t="inlineStr">
        <is>
          <t>Rua Projetada A</t>
        </is>
      </c>
      <c r="D44" s="5" t="inlineStr">
        <is>
          <t>167</t>
        </is>
      </c>
      <c r="E44" s="5" t="inlineStr">
        <is>
          <t>Assent. Oeste</t>
        </is>
      </c>
      <c r="F44" s="5" t="inlineStr">
        <is>
          <t>EMEF Distrito Norte</t>
        </is>
      </c>
      <c r="G44" s="5" t="inlineStr">
        <is>
          <t>Tarde</t>
        </is>
      </c>
      <c r="H44" s="5" t="inlineStr"/>
      <c r="I44" s="5" t="inlineStr"/>
      <c r="J44" s="5" t="n">
        <v>-21.189084</v>
      </c>
      <c r="K44" s="5" t="n">
        <v>-47.921673</v>
      </c>
      <c r="L44" s="5" t="inlineStr">
        <is>
          <t>mora depois da ponte</t>
        </is>
      </c>
    </row>
    <row r="45">
      <c r="A45" s="4" t="inlineStr">
        <is>
          <t>2026040</t>
        </is>
      </c>
      <c r="B45" s="4" t="inlineStr">
        <is>
          <t>Gabriela Barbosa</t>
        </is>
      </c>
      <c r="C45" s="4" t="inlineStr">
        <is>
          <t>Sítio Boa Vista</t>
        </is>
      </c>
      <c r="D45" s="4" t="inlineStr">
        <is>
          <t>365</t>
        </is>
      </c>
      <c r="E45" s="4" t="inlineStr">
        <is>
          <t>Sede Urbana</t>
        </is>
      </c>
      <c r="F45" s="4" t="inlineStr">
        <is>
          <t>EMEF Vila Rural Sul</t>
        </is>
      </c>
      <c r="G45" s="4" t="inlineStr">
        <is>
          <t>manha</t>
        </is>
      </c>
      <c r="H45" s="4" t="inlineStr"/>
      <c r="I45" s="4" t="inlineStr">
        <is>
          <t>sim</t>
        </is>
      </c>
      <c r="J45" s="4" t="n">
        <v>-21.137497</v>
      </c>
      <c r="K45" s="4" t="n">
        <v>-47.79468</v>
      </c>
      <c r="L45" s="4" t="inlineStr">
        <is>
          <t>estrada ruim em dia de chuva</t>
        </is>
      </c>
    </row>
    <row r="46">
      <c r="A46" s="5" t="inlineStr">
        <is>
          <t>2026041</t>
        </is>
      </c>
      <c r="B46" s="5" t="inlineStr">
        <is>
          <t>Rafael Oliveira</t>
        </is>
      </c>
      <c r="C46" s="5" t="inlineStr">
        <is>
          <t>Rua das Acácias</t>
        </is>
      </c>
      <c r="D46" s="5" t="inlineStr">
        <is>
          <t>863</t>
        </is>
      </c>
      <c r="E46" s="5" t="inlineStr">
        <is>
          <t>Distrito Norte</t>
        </is>
      </c>
      <c r="F46" s="5" t="inlineStr">
        <is>
          <t>EMEF Distrito Norte</t>
        </is>
      </c>
      <c r="G46" s="5" t="inlineStr">
        <is>
          <t>MAT</t>
        </is>
      </c>
      <c r="H46" s="5" t="inlineStr"/>
      <c r="I46" s="5" t="inlineStr"/>
      <c r="J46" s="5" t="n">
        <v>-21.066768</v>
      </c>
      <c r="K46" s="5" t="n">
        <v>-47.7691</v>
      </c>
      <c r="L46" s="5" t="inlineStr"/>
    </row>
    <row r="47">
      <c r="A47" s="4" t="inlineStr">
        <is>
          <t>2026042</t>
        </is>
      </c>
      <c r="B47" s="4" t="inlineStr">
        <is>
          <t>Tiago Ferreira</t>
        </is>
      </c>
      <c r="C47" s="4" t="inlineStr">
        <is>
          <t>Estrada do Assentamento</t>
        </is>
      </c>
      <c r="D47" s="4" t="inlineStr">
        <is>
          <t>895</t>
        </is>
      </c>
      <c r="E47" s="4" t="inlineStr">
        <is>
          <t>Distrito Leste</t>
        </is>
      </c>
      <c r="F47" s="4" t="inlineStr">
        <is>
          <t>EMEF Vila Rural Sul</t>
        </is>
      </c>
      <c r="G47" s="4" t="inlineStr">
        <is>
          <t>MAT</t>
        </is>
      </c>
      <c r="H47" s="4" t="inlineStr"/>
      <c r="I47" s="4" t="inlineStr"/>
      <c r="J47" s="4" t="n">
        <v>-21.166774</v>
      </c>
      <c r="K47" s="4" t="n">
        <v>-47.731812</v>
      </c>
      <c r="L47" s="4" t="inlineStr"/>
    </row>
    <row r="48">
      <c r="A48" s="5" t="inlineStr">
        <is>
          <t>2026043</t>
        </is>
      </c>
      <c r="B48" s="5" t="inlineStr">
        <is>
          <t>Lucas Nascimento</t>
        </is>
      </c>
      <c r="C48" s="5" t="inlineStr">
        <is>
          <t>Estrada do Assentamento</t>
        </is>
      </c>
      <c r="D48" s="5" t="inlineStr">
        <is>
          <t>s/n</t>
        </is>
      </c>
      <c r="E48" s="5" t="inlineStr">
        <is>
          <t>Vila Rural Sul</t>
        </is>
      </c>
      <c r="F48" s="5" t="inlineStr">
        <is>
          <t>EMEF Vila Rural Sul</t>
        </is>
      </c>
      <c r="G48" s="5" t="inlineStr">
        <is>
          <t>M</t>
        </is>
      </c>
      <c r="H48" s="5" t="inlineStr"/>
      <c r="I48" s="5" t="inlineStr"/>
      <c r="J48" s="5" t="inlineStr"/>
      <c r="K48" s="5" t="inlineStr"/>
      <c r="L48" s="5" t="inlineStr">
        <is>
          <t>descer no ponto do vizinho</t>
        </is>
      </c>
    </row>
    <row r="49">
      <c r="A49" s="4" t="inlineStr">
        <is>
          <t>2026044</t>
        </is>
      </c>
      <c r="B49" s="4" t="inlineStr">
        <is>
          <t>Sônia Almeida</t>
        </is>
      </c>
      <c r="C49" s="4" t="inlineStr">
        <is>
          <t>Rua do Córrego</t>
        </is>
      </c>
      <c r="D49" s="4" t="inlineStr">
        <is>
          <t>797</t>
        </is>
      </c>
      <c r="E49" s="4" t="inlineStr">
        <is>
          <t>Assent. Oeste</t>
        </is>
      </c>
      <c r="F49" s="4" t="inlineStr">
        <is>
          <t>EMEF Distrito Norte</t>
        </is>
      </c>
      <c r="G49" s="4" t="inlineStr">
        <is>
          <t>Tarde</t>
        </is>
      </c>
      <c r="H49" s="4" t="inlineStr"/>
      <c r="I49" s="4" t="inlineStr"/>
      <c r="J49" s="4" t="n">
        <v>-21.147676</v>
      </c>
      <c r="K49" s="4" t="n">
        <v>-47.917971</v>
      </c>
      <c r="L49" s="4" t="inlineStr">
        <is>
          <t>estrada ruim em dia de chuva</t>
        </is>
      </c>
    </row>
    <row r="50">
      <c r="A50" s="5" t="inlineStr">
        <is>
          <t>2026045</t>
        </is>
      </c>
      <c r="B50" s="5" t="inlineStr">
        <is>
          <t>Nelson Araújo</t>
        </is>
      </c>
      <c r="C50" s="5" t="inlineStr">
        <is>
          <t>Rua do Córrego</t>
        </is>
      </c>
      <c r="D50" s="5" t="inlineStr">
        <is>
          <t>413</t>
        </is>
      </c>
      <c r="E50" s="5" t="inlineStr">
        <is>
          <t>Sede Urbana</t>
        </is>
      </c>
      <c r="F50" s="5" t="inlineStr">
        <is>
          <t>EMEF Distrito Norte</t>
        </is>
      </c>
      <c r="G50" s="5" t="inlineStr">
        <is>
          <t>manha</t>
        </is>
      </c>
      <c r="H50" s="5" t="inlineStr"/>
      <c r="I50" s="5" t="inlineStr"/>
      <c r="J50" s="5" t="n">
        <v>-21.156383</v>
      </c>
      <c r="K50" s="5" t="n">
        <v>-47.785668</v>
      </c>
      <c r="L50" s="5" t="inlineStr">
        <is>
          <t>estrada ruim em dia de chuva</t>
        </is>
      </c>
    </row>
    <row r="51">
      <c r="A51" s="4" t="inlineStr">
        <is>
          <t>2026046</t>
        </is>
      </c>
      <c r="B51" s="4" t="inlineStr">
        <is>
          <t>LUCAS RODRIGUES</t>
        </is>
      </c>
      <c r="C51" s="4" t="inlineStr">
        <is>
          <t>Sítio Boa Vista</t>
        </is>
      </c>
      <c r="D51" s="4" t="inlineStr">
        <is>
          <t>s/n</t>
        </is>
      </c>
      <c r="E51" s="4" t="inlineStr">
        <is>
          <t>Distrito Norte</t>
        </is>
      </c>
      <c r="F51" s="4" t="inlineStr">
        <is>
          <t>EMEF Centro</t>
        </is>
      </c>
      <c r="G51" s="4" t="inlineStr">
        <is>
          <t>manha</t>
        </is>
      </c>
      <c r="H51" s="4" t="inlineStr"/>
      <c r="I51" s="4" t="inlineStr"/>
      <c r="J51" s="4" t="inlineStr"/>
      <c r="K51" s="4" t="inlineStr"/>
      <c r="L51" s="4" t="inlineStr"/>
    </row>
    <row r="52">
      <c r="A52" s="5" t="inlineStr">
        <is>
          <t>2026047</t>
        </is>
      </c>
      <c r="B52" s="5" t="inlineStr">
        <is>
          <t>Nelson Costa</t>
        </is>
      </c>
      <c r="C52" s="5" t="inlineStr">
        <is>
          <t>Rua do Córrego</t>
        </is>
      </c>
      <c r="D52" s="5" t="inlineStr">
        <is>
          <t>270</t>
        </is>
      </c>
      <c r="E52" s="5" t="inlineStr">
        <is>
          <t>Distrito Leste</t>
        </is>
      </c>
      <c r="F52" s="5" t="inlineStr">
        <is>
          <t>EMEF Centro</t>
        </is>
      </c>
      <c r="G52" s="5" t="inlineStr">
        <is>
          <t>Tarde</t>
        </is>
      </c>
      <c r="H52" s="5" t="inlineStr"/>
      <c r="I52" s="5" t="inlineStr"/>
      <c r="J52" s="5" t="n">
        <v>-21.165986</v>
      </c>
      <c r="K52" s="5" t="n">
        <v>-47.735881</v>
      </c>
      <c r="L52" s="5" t="inlineStr">
        <is>
          <t>família mudou de endereço</t>
        </is>
      </c>
    </row>
    <row r="53">
      <c r="A53" s="4" t="inlineStr">
        <is>
          <t>2026048</t>
        </is>
      </c>
      <c r="B53" s="4" t="inlineStr">
        <is>
          <t>Diego Costa</t>
        </is>
      </c>
      <c r="C53" s="4" t="inlineStr">
        <is>
          <t>Rua das Acácias</t>
        </is>
      </c>
      <c r="D53" s="4" t="inlineStr">
        <is>
          <t>563</t>
        </is>
      </c>
      <c r="E53" s="4" t="inlineStr">
        <is>
          <t>Vila Rural Sul</t>
        </is>
      </c>
      <c r="F53" s="4" t="inlineStr">
        <is>
          <t>EMEF Vila Rural Sul</t>
        </is>
      </c>
      <c r="G53" s="4" t="inlineStr">
        <is>
          <t>T</t>
        </is>
      </c>
      <c r="H53" s="4" t="inlineStr"/>
      <c r="I53" s="4" t="inlineStr"/>
      <c r="J53" s="4" t="n">
        <v>-21.218187</v>
      </c>
      <c r="K53" s="4" t="n">
        <v>-47.842505</v>
      </c>
      <c r="L53" s="4" t="inlineStr">
        <is>
          <t>descer no ponto do vizinho</t>
        </is>
      </c>
    </row>
    <row r="54">
      <c r="A54" s="5" t="inlineStr">
        <is>
          <t>2026049</t>
        </is>
      </c>
      <c r="B54" s="5" t="inlineStr">
        <is>
          <t>Vinícius Martins</t>
        </is>
      </c>
      <c r="C54" s="5" t="inlineStr">
        <is>
          <t>Linha 3 do Assentamento</t>
        </is>
      </c>
      <c r="D54" s="5" t="inlineStr">
        <is>
          <t>215</t>
        </is>
      </c>
      <c r="E54" s="5" t="inlineStr">
        <is>
          <t>Assent. Oeste</t>
        </is>
      </c>
      <c r="F54" s="5" t="inlineStr">
        <is>
          <t>EMEF Distrito Norte</t>
        </is>
      </c>
      <c r="G54" s="5" t="inlineStr">
        <is>
          <t>T</t>
        </is>
      </c>
      <c r="H54" s="5" t="inlineStr"/>
      <c r="I54" s="5" t="inlineStr">
        <is>
          <t>sim</t>
        </is>
      </c>
      <c r="J54" s="5" t="n">
        <v>-21.142718</v>
      </c>
      <c r="K54" s="5" t="n">
        <v>-47.86385</v>
      </c>
      <c r="L54" s="5" t="inlineStr">
        <is>
          <t>mora depois da ponte</t>
        </is>
      </c>
    </row>
    <row r="55">
      <c r="A55" s="4" t="inlineStr">
        <is>
          <t>2026050</t>
        </is>
      </c>
      <c r="B55" s="4" t="inlineStr">
        <is>
          <t>Yasmin Oliveira</t>
        </is>
      </c>
      <c r="C55" s="4" t="inlineStr">
        <is>
          <t>Travessa São José</t>
        </is>
      </c>
      <c r="D55" s="4" t="inlineStr">
        <is>
          <t>593</t>
        </is>
      </c>
      <c r="E55" s="4" t="inlineStr">
        <is>
          <t>Sede Urbana</t>
        </is>
      </c>
      <c r="F55" s="4" t="inlineStr">
        <is>
          <t>EMEF Vila Rural Sul</t>
        </is>
      </c>
      <c r="G55" s="4" t="inlineStr">
        <is>
          <t>Vespertino</t>
        </is>
      </c>
      <c r="H55" s="4" t="inlineStr">
        <is>
          <t>-</t>
        </is>
      </c>
      <c r="I55" s="4" t="inlineStr"/>
      <c r="J55" s="4" t="n">
        <v>-21.147879</v>
      </c>
      <c r="K55" s="4" t="n">
        <v>-47.808922</v>
      </c>
      <c r="L55" s="4" t="inlineStr">
        <is>
          <t>descer no ponto do vizinho</t>
        </is>
      </c>
    </row>
    <row r="56">
      <c r="A56" s="5" t="inlineStr">
        <is>
          <t>2026051</t>
        </is>
      </c>
      <c r="B56" s="5" t="inlineStr">
        <is>
          <t>Karina Silva</t>
        </is>
      </c>
      <c r="C56" s="5" t="inlineStr">
        <is>
          <t>Estrada Municipal RM-040</t>
        </is>
      </c>
      <c r="D56" s="5" t="inlineStr">
        <is>
          <t>335</t>
        </is>
      </c>
      <c r="E56" s="5" t="inlineStr">
        <is>
          <t>Distrito Norte</t>
        </is>
      </c>
      <c r="F56" s="5" t="inlineStr">
        <is>
          <t>EMEF Centro</t>
        </is>
      </c>
      <c r="G56" s="5" t="inlineStr">
        <is>
          <t>M</t>
        </is>
      </c>
      <c r="H56" s="5" t="inlineStr"/>
      <c r="I56" s="5" t="inlineStr"/>
      <c r="J56" s="5" t="n">
        <v>-21.106808</v>
      </c>
      <c r="K56" s="5" t="n">
        <v>-47.79275</v>
      </c>
      <c r="L56" s="5" t="inlineStr">
        <is>
          <t>estrada ruim em dia de chuva</t>
        </is>
      </c>
    </row>
    <row r="57">
      <c r="A57" s="4" t="inlineStr">
        <is>
          <t>2026052</t>
        </is>
      </c>
      <c r="B57" s="4" t="inlineStr">
        <is>
          <t>Carla Araújo</t>
        </is>
      </c>
      <c r="C57" s="4" t="inlineStr">
        <is>
          <t>Estrada do Assentamento</t>
        </is>
      </c>
      <c r="D57" s="4" t="inlineStr">
        <is>
          <t>160</t>
        </is>
      </c>
      <c r="E57" s="4" t="inlineStr">
        <is>
          <t>Distrito Leste</t>
        </is>
      </c>
      <c r="F57" s="4" t="inlineStr">
        <is>
          <t>EMEF Distrito Norte</t>
        </is>
      </c>
      <c r="G57" s="4" t="inlineStr">
        <is>
          <t>M</t>
        </is>
      </c>
      <c r="H57" s="4" t="inlineStr">
        <is>
          <t>NÃO</t>
        </is>
      </c>
      <c r="I57" s="4" t="inlineStr"/>
      <c r="J57" s="4" t="n">
        <v>-21.137351</v>
      </c>
      <c r="K57" s="4" t="n">
        <v>-47.753225</v>
      </c>
      <c r="L57" s="4" t="inlineStr"/>
    </row>
    <row r="58">
      <c r="A58" s="5" t="inlineStr">
        <is>
          <t>2026053</t>
        </is>
      </c>
      <c r="B58" s="5" t="inlineStr">
        <is>
          <t>Wesley Costa</t>
        </is>
      </c>
      <c r="C58" s="5" t="inlineStr">
        <is>
          <t>Linha 3 do Assentamento</t>
        </is>
      </c>
      <c r="D58" s="5" t="inlineStr">
        <is>
          <t>137</t>
        </is>
      </c>
      <c r="E58" s="5" t="inlineStr">
        <is>
          <t>Vila Rural Sul</t>
        </is>
      </c>
      <c r="F58" s="5" t="inlineStr">
        <is>
          <t>EMEF Centro</t>
        </is>
      </c>
      <c r="G58" s="5" t="inlineStr">
        <is>
          <t>Manhã</t>
        </is>
      </c>
      <c r="H58" s="5" t="inlineStr"/>
      <c r="I58" s="5" t="inlineStr"/>
      <c r="J58" s="5" t="n">
        <v>-21.221305</v>
      </c>
      <c r="K58" s="5" t="n">
        <v>-47.833343</v>
      </c>
      <c r="L58" s="5" t="inlineStr"/>
    </row>
    <row r="59">
      <c r="A59" s="4" t="inlineStr">
        <is>
          <t>2026054</t>
        </is>
      </c>
      <c r="B59" s="4" t="inlineStr">
        <is>
          <t>Rafael Barbosa</t>
        </is>
      </c>
      <c r="C59" s="4" t="inlineStr">
        <is>
          <t>Rua do Córrego</t>
        </is>
      </c>
      <c r="D59" s="4" t="inlineStr">
        <is>
          <t>674</t>
        </is>
      </c>
      <c r="E59" s="4" t="inlineStr">
        <is>
          <t>Assent. Oeste</t>
        </is>
      </c>
      <c r="F59" s="4" t="inlineStr">
        <is>
          <t>EMEF Vila Rural Sul</t>
        </is>
      </c>
      <c r="G59" s="4" t="inlineStr">
        <is>
          <t>T</t>
        </is>
      </c>
      <c r="H59" s="4" t="inlineStr"/>
      <c r="I59" s="4" t="inlineStr"/>
      <c r="J59" s="4" t="n">
        <v>-21.191492</v>
      </c>
      <c r="K59" s="4" t="n">
        <v>-47.849521</v>
      </c>
      <c r="L59" s="4" t="inlineStr">
        <is>
          <t>descer no ponto do vizinho</t>
        </is>
      </c>
    </row>
    <row r="60">
      <c r="A60" s="5" t="inlineStr">
        <is>
          <t>2026055</t>
        </is>
      </c>
      <c r="B60" s="5" t="inlineStr">
        <is>
          <t>Ivone Nascimento</t>
        </is>
      </c>
      <c r="C60" s="5" t="inlineStr">
        <is>
          <t>Estrada Municipal RM-040</t>
        </is>
      </c>
      <c r="D60" s="5" t="inlineStr">
        <is>
          <t>s/n</t>
        </is>
      </c>
      <c r="E60" s="5" t="inlineStr">
        <is>
          <t>Sede Urbana</t>
        </is>
      </c>
      <c r="F60" s="5" t="inlineStr">
        <is>
          <t>EMEF Centro</t>
        </is>
      </c>
      <c r="G60" s="5" t="inlineStr">
        <is>
          <t xml:space="preserve">tarde </t>
        </is>
      </c>
      <c r="H60" s="5" t="inlineStr"/>
      <c r="I60" s="5" t="inlineStr"/>
      <c r="J60" s="5" t="inlineStr"/>
      <c r="K60" s="5" t="inlineStr"/>
      <c r="L60" s="5" t="inlineStr">
        <is>
          <t>estrada ruim em dia de chuva</t>
        </is>
      </c>
    </row>
    <row r="61">
      <c r="A61" s="4" t="inlineStr">
        <is>
          <t>2026056</t>
        </is>
      </c>
      <c r="B61" s="4" t="inlineStr">
        <is>
          <t>Ivone Martins</t>
        </is>
      </c>
      <c r="C61" s="4" t="inlineStr">
        <is>
          <t>Rua Projetada A</t>
        </is>
      </c>
      <c r="D61" s="4" t="inlineStr">
        <is>
          <t>s/n</t>
        </is>
      </c>
      <c r="E61" s="4" t="inlineStr">
        <is>
          <t>Distrito Norte</t>
        </is>
      </c>
      <c r="F61" s="4" t="inlineStr">
        <is>
          <t>EMEF Distrito Norte</t>
        </is>
      </c>
      <c r="G61" s="4" t="inlineStr">
        <is>
          <t>Tarde</t>
        </is>
      </c>
      <c r="H61" s="4" t="inlineStr"/>
      <c r="I61" s="4" t="inlineStr"/>
      <c r="J61" s="4" t="inlineStr"/>
      <c r="K61" s="4" t="inlineStr"/>
      <c r="L61" s="4" t="inlineStr">
        <is>
          <t>porteira fechada, buzinar</t>
        </is>
      </c>
    </row>
    <row r="62">
      <c r="A62" s="5" t="inlineStr">
        <is>
          <t>2026057</t>
        </is>
      </c>
      <c r="B62" s="5" t="inlineStr">
        <is>
          <t>Gabriela Ferreira</t>
        </is>
      </c>
      <c r="C62" s="5" t="inlineStr">
        <is>
          <t>Linha 3 do Assentamento</t>
        </is>
      </c>
      <c r="D62" s="5" t="inlineStr">
        <is>
          <t>699</t>
        </is>
      </c>
      <c r="E62" s="5" t="inlineStr">
        <is>
          <t>Distrito Leste</t>
        </is>
      </c>
      <c r="F62" s="5" t="inlineStr">
        <is>
          <t>EMEF Vila Rural Sul</t>
        </is>
      </c>
      <c r="G62" s="5" t="inlineStr">
        <is>
          <t>Tarde</t>
        </is>
      </c>
      <c r="H62" s="5" t="inlineStr">
        <is>
          <t>SIM</t>
        </is>
      </c>
      <c r="I62" s="5" t="inlineStr"/>
      <c r="J62" s="5" t="n">
        <v>-21.146062</v>
      </c>
      <c r="K62" s="5" t="n">
        <v>-47.74961</v>
      </c>
      <c r="L62" s="5" t="inlineStr">
        <is>
          <t>família mudou de endereço</t>
        </is>
      </c>
    </row>
    <row r="63">
      <c r="A63" s="4" t="inlineStr">
        <is>
          <t>2026058</t>
        </is>
      </c>
      <c r="B63" s="4" t="inlineStr">
        <is>
          <t>Queila Ferreira</t>
        </is>
      </c>
      <c r="C63" s="4" t="inlineStr">
        <is>
          <t>Av. Central</t>
        </is>
      </c>
      <c r="D63" s="4" t="inlineStr">
        <is>
          <t>80</t>
        </is>
      </c>
      <c r="E63" s="4" t="inlineStr">
        <is>
          <t>Vila Rural Sul</t>
        </is>
      </c>
      <c r="F63" s="4" t="inlineStr">
        <is>
          <t>EMEF Vila Rural Sul</t>
        </is>
      </c>
      <c r="G63" s="4" t="inlineStr">
        <is>
          <t>manha</t>
        </is>
      </c>
      <c r="H63" s="4" t="inlineStr"/>
      <c r="I63" s="4" t="inlineStr"/>
      <c r="J63" s="4" t="n">
        <v>-21.228837</v>
      </c>
      <c r="K63" s="4" t="n">
        <v>-47.84719</v>
      </c>
      <c r="L63" s="4" t="inlineStr">
        <is>
          <t>família mudou de endereço</t>
        </is>
      </c>
    </row>
    <row r="64">
      <c r="A64" s="5" t="inlineStr">
        <is>
          <t>2026059</t>
        </is>
      </c>
      <c r="B64" s="5" t="inlineStr">
        <is>
          <t>Queila Martins</t>
        </is>
      </c>
      <c r="C64" s="5" t="inlineStr">
        <is>
          <t>Rua Projetada A</t>
        </is>
      </c>
      <c r="D64" s="5" t="inlineStr">
        <is>
          <t>30</t>
        </is>
      </c>
      <c r="E64" s="5" t="inlineStr">
        <is>
          <t>Assent. Oeste</t>
        </is>
      </c>
      <c r="F64" s="5" t="inlineStr">
        <is>
          <t>EMEF Distrito Norte</t>
        </is>
      </c>
      <c r="G64" s="5" t="inlineStr">
        <is>
          <t>M</t>
        </is>
      </c>
      <c r="H64" s="5" t="inlineStr"/>
      <c r="I64" s="5" t="inlineStr"/>
      <c r="J64" s="5" t="n">
        <v>-21.201491</v>
      </c>
      <c r="K64" s="5" t="n">
        <v>-47.876252</v>
      </c>
      <c r="L64" s="5" t="inlineStr">
        <is>
          <t>família mudou de endereço</t>
        </is>
      </c>
    </row>
    <row r="65">
      <c r="A65" s="4" t="inlineStr">
        <is>
          <t>2026060</t>
        </is>
      </c>
      <c r="B65" s="4" t="inlineStr">
        <is>
          <t>Elis Araújo</t>
        </is>
      </c>
      <c r="C65" s="4" t="inlineStr">
        <is>
          <t>Rua do Córrego</t>
        </is>
      </c>
      <c r="D65" s="4" t="inlineStr">
        <is>
          <t>140</t>
        </is>
      </c>
      <c r="E65" s="4" t="inlineStr">
        <is>
          <t>Sede Urbana</t>
        </is>
      </c>
      <c r="F65" s="4" t="inlineStr">
        <is>
          <t>EMEF Vila Rural Sul</t>
        </is>
      </c>
      <c r="G65" s="4" t="inlineStr">
        <is>
          <t>T</t>
        </is>
      </c>
      <c r="H65" s="4" t="inlineStr"/>
      <c r="I65" s="4" t="inlineStr"/>
      <c r="J65" s="4" t="n">
        <v>-21.136993</v>
      </c>
      <c r="K65" s="4" t="n">
        <v>-47.790072</v>
      </c>
      <c r="L65" s="4" t="inlineStr">
        <is>
          <t>família mudou de endereço</t>
        </is>
      </c>
    </row>
    <row r="66">
      <c r="A66" s="5" t="inlineStr">
        <is>
          <t>2026061</t>
        </is>
      </c>
      <c r="B66" s="5" t="inlineStr">
        <is>
          <t>Tiago Barbosa</t>
        </is>
      </c>
      <c r="C66" s="5" t="inlineStr">
        <is>
          <t>Av. Central</t>
        </is>
      </c>
      <c r="D66" s="5" t="inlineStr">
        <is>
          <t>747</t>
        </is>
      </c>
      <c r="E66" s="5" t="inlineStr">
        <is>
          <t>Distrito Norte</t>
        </is>
      </c>
      <c r="F66" s="5" t="inlineStr">
        <is>
          <t>EMEF Centro</t>
        </is>
      </c>
      <c r="G66" s="5" t="inlineStr">
        <is>
          <t>manha</t>
        </is>
      </c>
      <c r="H66" s="5" t="inlineStr"/>
      <c r="I66" s="5" t="inlineStr"/>
      <c r="J66" s="5" t="n">
        <v>-47.766921</v>
      </c>
      <c r="K66" s="5" t="n">
        <v>-21.11088</v>
      </c>
      <c r="L66" s="5" t="inlineStr"/>
    </row>
    <row r="67">
      <c r="A67" s="4" t="inlineStr">
        <is>
          <t>2026062</t>
        </is>
      </c>
      <c r="B67" s="4" t="inlineStr">
        <is>
          <t xml:space="preserve">  Vinícius Martins </t>
        </is>
      </c>
      <c r="C67" s="4" t="inlineStr">
        <is>
          <t>Av. Central</t>
        </is>
      </c>
      <c r="D67" s="4" t="inlineStr">
        <is>
          <t>143</t>
        </is>
      </c>
      <c r="E67" s="4" t="inlineStr">
        <is>
          <t>Distrito Leste</t>
        </is>
      </c>
      <c r="F67" s="4" t="inlineStr">
        <is>
          <t>EMEF Distrito Norte</t>
        </is>
      </c>
      <c r="G67" s="4" t="inlineStr">
        <is>
          <t>T</t>
        </is>
      </c>
      <c r="H67" s="4" t="inlineStr"/>
      <c r="I67" s="4" t="inlineStr"/>
      <c r="J67" s="4" t="n">
        <v>-21.120313</v>
      </c>
      <c r="K67" s="4" t="n">
        <v>-47.690014</v>
      </c>
      <c r="L67" s="4" t="inlineStr"/>
    </row>
    <row r="68">
      <c r="A68" s="5" t="inlineStr">
        <is>
          <t>2026063</t>
        </is>
      </c>
      <c r="B68" s="5" t="inlineStr">
        <is>
          <t>Fábio Gomes</t>
        </is>
      </c>
      <c r="C68" s="5" t="inlineStr">
        <is>
          <t>Linha 3 do Assentamento</t>
        </is>
      </c>
      <c r="D68" s="5" t="inlineStr">
        <is>
          <t>30</t>
        </is>
      </c>
      <c r="E68" s="5" t="inlineStr">
        <is>
          <t>Vila Rural Sul</t>
        </is>
      </c>
      <c r="F68" s="5" t="inlineStr">
        <is>
          <t>EMEF Distrito Norte</t>
        </is>
      </c>
      <c r="G68" s="5" t="inlineStr">
        <is>
          <t>M</t>
        </is>
      </c>
      <c r="H68" s="5" t="inlineStr"/>
      <c r="I68" s="5" t="inlineStr"/>
      <c r="J68" s="5" t="n">
        <v>-21.204267</v>
      </c>
      <c r="K68" s="5" t="n">
        <v>-47.83578</v>
      </c>
      <c r="L68" s="5" t="inlineStr"/>
    </row>
    <row r="69">
      <c r="A69" s="4" t="inlineStr">
        <is>
          <t>2026064</t>
        </is>
      </c>
      <c r="B69" s="4" t="inlineStr">
        <is>
          <t>Olívia Gomes</t>
        </is>
      </c>
      <c r="C69" s="4" t="inlineStr">
        <is>
          <t>Av. Central</t>
        </is>
      </c>
      <c r="D69" s="4" t="inlineStr">
        <is>
          <t>s/n</t>
        </is>
      </c>
      <c r="E69" s="4" t="inlineStr">
        <is>
          <t>Assent. Oeste</t>
        </is>
      </c>
      <c r="F69" s="4" t="inlineStr">
        <is>
          <t>EMEF Distrito Norte</t>
        </is>
      </c>
      <c r="G69" s="4" t="inlineStr">
        <is>
          <t>manha</t>
        </is>
      </c>
      <c r="H69" s="4" t="inlineStr"/>
      <c r="I69" s="4" t="inlineStr">
        <is>
          <t>sim</t>
        </is>
      </c>
      <c r="J69" s="4" t="inlineStr"/>
      <c r="K69" s="4" t="inlineStr"/>
      <c r="L69" s="4" t="inlineStr"/>
    </row>
    <row r="70">
      <c r="A70" s="5" t="inlineStr">
        <is>
          <t>2026065</t>
        </is>
      </c>
      <c r="B70" s="5" t="inlineStr">
        <is>
          <t>Bruno Souza</t>
        </is>
      </c>
      <c r="C70" s="5" t="inlineStr">
        <is>
          <t>Estrada Municipal RM-040</t>
        </is>
      </c>
      <c r="D70" s="5" t="inlineStr">
        <is>
          <t>337</t>
        </is>
      </c>
      <c r="E70" s="5" t="inlineStr">
        <is>
          <t>Sede Urbana</t>
        </is>
      </c>
      <c r="F70" s="5" t="inlineStr">
        <is>
          <t>EMEF Centro</t>
        </is>
      </c>
      <c r="G70" s="5" t="inlineStr">
        <is>
          <t>manha</t>
        </is>
      </c>
      <c r="H70" s="5" t="inlineStr"/>
      <c r="I70" s="5" t="inlineStr"/>
      <c r="J70" s="5" t="n">
        <v>-21.137622</v>
      </c>
      <c r="K70" s="5" t="n">
        <v>-47.792855</v>
      </c>
      <c r="L70" s="5" t="inlineStr"/>
    </row>
    <row r="71">
      <c r="A71" s="4" t="inlineStr">
        <is>
          <t>2026066</t>
        </is>
      </c>
      <c r="B71" s="4" t="inlineStr">
        <is>
          <t>Nelson Gomes</t>
        </is>
      </c>
      <c r="C71" s="4" t="inlineStr">
        <is>
          <t>Rua Projetada A</t>
        </is>
      </c>
      <c r="D71" s="4" t="inlineStr">
        <is>
          <t>678</t>
        </is>
      </c>
      <c r="E71" s="4" t="inlineStr">
        <is>
          <t>Distrito Norte</t>
        </is>
      </c>
      <c r="F71" s="4" t="inlineStr">
        <is>
          <t>EMEF Distrito Norte</t>
        </is>
      </c>
      <c r="G71" s="4" t="inlineStr">
        <is>
          <t>M</t>
        </is>
      </c>
      <c r="H71" s="4" t="inlineStr"/>
      <c r="I71" s="4" t="inlineStr"/>
      <c r="J71" s="4" t="n">
        <v>-21.070014</v>
      </c>
      <c r="K71" s="4" t="n">
        <v>-47.78976</v>
      </c>
      <c r="L71" s="4" t="inlineStr">
        <is>
          <t>mora depois da ponte</t>
        </is>
      </c>
    </row>
    <row r="72">
      <c r="A72" s="5" t="inlineStr">
        <is>
          <t>2026067</t>
        </is>
      </c>
      <c r="B72" s="5" t="inlineStr">
        <is>
          <t>Yasmin Rodrigues</t>
        </is>
      </c>
      <c r="C72" s="5" t="inlineStr">
        <is>
          <t>Estrada Municipal RM-040</t>
        </is>
      </c>
      <c r="D72" s="5" t="inlineStr">
        <is>
          <t>645</t>
        </is>
      </c>
      <c r="E72" s="5" t="inlineStr">
        <is>
          <t>Distrito Leste</t>
        </is>
      </c>
      <c r="F72" s="5" t="inlineStr">
        <is>
          <t>EMEF Vila Rural Sul</t>
        </is>
      </c>
      <c r="G72" s="5" t="inlineStr">
        <is>
          <t xml:space="preserve">tarde </t>
        </is>
      </c>
      <c r="H72" s="5" t="inlineStr">
        <is>
          <t>NÃO</t>
        </is>
      </c>
      <c r="I72" s="5" t="inlineStr"/>
      <c r="J72" s="5" t="n">
        <v>-21.149303</v>
      </c>
      <c r="K72" s="5" t="n">
        <v>-47.739776</v>
      </c>
      <c r="L72" s="5" t="inlineStr">
        <is>
          <t>descer no ponto do vizinho</t>
        </is>
      </c>
    </row>
    <row r="73">
      <c r="A73" s="4" t="inlineStr">
        <is>
          <t>2026068</t>
        </is>
      </c>
      <c r="B73" s="4" t="inlineStr">
        <is>
          <t>Carla Pereira</t>
        </is>
      </c>
      <c r="C73" s="4" t="inlineStr">
        <is>
          <t>Av. Central</t>
        </is>
      </c>
      <c r="D73" s="4" t="inlineStr">
        <is>
          <t>118</t>
        </is>
      </c>
      <c r="E73" s="4" t="inlineStr">
        <is>
          <t>Vila Rural Sul</t>
        </is>
      </c>
      <c r="F73" s="4" t="inlineStr">
        <is>
          <t>EMEF Centro</t>
        </is>
      </c>
      <c r="G73" s="4" t="inlineStr">
        <is>
          <t>M</t>
        </is>
      </c>
      <c r="H73" s="4" t="inlineStr"/>
      <c r="I73" s="4" t="inlineStr"/>
      <c r="J73" s="4" t="n">
        <v>-21.244195</v>
      </c>
      <c r="K73" s="4" t="n">
        <v>-47.86701</v>
      </c>
      <c r="L73" s="4" t="inlineStr">
        <is>
          <t>mora depois da ponte</t>
        </is>
      </c>
    </row>
    <row r="74">
      <c r="A74" s="5" t="inlineStr">
        <is>
          <t>2026069</t>
        </is>
      </c>
      <c r="B74" s="5" t="inlineStr">
        <is>
          <t>ANA ARAÚJO</t>
        </is>
      </c>
      <c r="C74" s="5" t="inlineStr">
        <is>
          <t>Estrada Municipal RM-040</t>
        </is>
      </c>
      <c r="D74" s="5" t="inlineStr">
        <is>
          <t>s/n</t>
        </is>
      </c>
      <c r="E74" s="5" t="inlineStr">
        <is>
          <t>Assent. Oeste</t>
        </is>
      </c>
      <c r="F74" s="5" t="inlineStr">
        <is>
          <t>EMEF Distrito Norte</t>
        </is>
      </c>
      <c r="G74" s="5" t="inlineStr">
        <is>
          <t>T</t>
        </is>
      </c>
      <c r="H74" s="5" t="inlineStr"/>
      <c r="I74" s="5" t="inlineStr"/>
      <c r="J74" s="5" t="inlineStr"/>
      <c r="K74" s="5" t="inlineStr"/>
      <c r="L74" s="5" t="inlineStr">
        <is>
          <t>descer no ponto do vizinho</t>
        </is>
      </c>
    </row>
    <row r="75">
      <c r="A75" s="4" t="inlineStr">
        <is>
          <t>2026070</t>
        </is>
      </c>
      <c r="B75" s="4" t="inlineStr">
        <is>
          <t>Ivone Martins</t>
        </is>
      </c>
      <c r="C75" s="4" t="inlineStr">
        <is>
          <t>Av. Central</t>
        </is>
      </c>
      <c r="D75" s="4" t="inlineStr">
        <is>
          <t>574</t>
        </is>
      </c>
      <c r="E75" s="4" t="inlineStr">
        <is>
          <t>Sede Urbana</t>
        </is>
      </c>
      <c r="F75" s="4" t="inlineStr">
        <is>
          <t>EMEF Centro</t>
        </is>
      </c>
      <c r="G75" s="4" t="inlineStr">
        <is>
          <t>T</t>
        </is>
      </c>
      <c r="H75" s="4" t="inlineStr"/>
      <c r="I75" s="4" t="inlineStr"/>
      <c r="J75" s="4" t="n">
        <v>-21.132551</v>
      </c>
      <c r="K75" s="4" t="n">
        <v>-47.814131</v>
      </c>
      <c r="L75" s="4" t="inlineStr"/>
    </row>
    <row r="76">
      <c r="A76" s="5" t="inlineStr">
        <is>
          <t>2026071</t>
        </is>
      </c>
      <c r="B76" s="5" t="inlineStr">
        <is>
          <t>Wesley Gomes</t>
        </is>
      </c>
      <c r="C76" s="5" t="inlineStr">
        <is>
          <t>Estrada do Assentamento</t>
        </is>
      </c>
      <c r="D76" s="5" t="inlineStr">
        <is>
          <t>473</t>
        </is>
      </c>
      <c r="E76" s="5" t="inlineStr">
        <is>
          <t>Distrito Norte</t>
        </is>
      </c>
      <c r="F76" s="5" t="inlineStr">
        <is>
          <t>EMEF Distrito Norte</t>
        </is>
      </c>
      <c r="G76" s="5" t="inlineStr">
        <is>
          <t>T</t>
        </is>
      </c>
      <c r="H76" s="5" t="inlineStr"/>
      <c r="I76" s="5" t="inlineStr"/>
      <c r="J76" s="5" t="n">
        <v>-21.074706</v>
      </c>
      <c r="K76" s="5" t="n">
        <v>-47.74196</v>
      </c>
      <c r="L76" s="5" t="inlineStr">
        <is>
          <t>família mudou de endereço</t>
        </is>
      </c>
    </row>
    <row r="77">
      <c r="A77" s="4" t="inlineStr">
        <is>
          <t>2026072</t>
        </is>
      </c>
      <c r="B77" s="4" t="inlineStr">
        <is>
          <t>Diego Martins</t>
        </is>
      </c>
      <c r="C77" s="4" t="inlineStr">
        <is>
          <t>Estrada do Assentamento</t>
        </is>
      </c>
      <c r="D77" s="4" t="inlineStr">
        <is>
          <t>541</t>
        </is>
      </c>
      <c r="E77" s="4" t="inlineStr">
        <is>
          <t>Distrito Leste</t>
        </is>
      </c>
      <c r="F77" s="4" t="inlineStr">
        <is>
          <t>EMEF Distrito Norte</t>
        </is>
      </c>
      <c r="G77" s="4" t="inlineStr">
        <is>
          <t>MAT</t>
        </is>
      </c>
      <c r="H77" s="4" t="inlineStr"/>
      <c r="I77" s="4" t="inlineStr"/>
      <c r="J77" s="4" t="n">
        <v>-21.171468</v>
      </c>
      <c r="K77" s="4" t="n">
        <v>-47.713866</v>
      </c>
      <c r="L77" s="4" t="inlineStr">
        <is>
          <t>descer no ponto do vizinho</t>
        </is>
      </c>
    </row>
    <row r="78">
      <c r="A78" s="5" t="inlineStr">
        <is>
          <t>2026073</t>
        </is>
      </c>
      <c r="B78" s="5" t="inlineStr">
        <is>
          <t>Tiago Nascimento</t>
        </is>
      </c>
      <c r="C78" s="5" t="inlineStr">
        <is>
          <t>Rua das Acácias</t>
        </is>
      </c>
      <c r="D78" s="5" t="inlineStr">
        <is>
          <t>108</t>
        </is>
      </c>
      <c r="E78" s="5" t="inlineStr">
        <is>
          <t>Vila Rural Sul</t>
        </is>
      </c>
      <c r="F78" s="5" t="inlineStr">
        <is>
          <t>EMEF Distrito Norte</t>
        </is>
      </c>
      <c r="G78" s="5" t="inlineStr">
        <is>
          <t>MAT</t>
        </is>
      </c>
      <c r="H78" s="5" t="inlineStr"/>
      <c r="I78" s="5" t="inlineStr"/>
      <c r="J78" s="5" t="n">
        <v>-21.241364</v>
      </c>
      <c r="K78" s="5" t="n">
        <v>-47.848801</v>
      </c>
      <c r="L78" s="5" t="inlineStr"/>
    </row>
    <row r="79">
      <c r="A79" s="4" t="inlineStr">
        <is>
          <t>2026074</t>
        </is>
      </c>
      <c r="B79" s="4" t="inlineStr">
        <is>
          <t>Bruno Barbosa</t>
        </is>
      </c>
      <c r="C79" s="4" t="inlineStr">
        <is>
          <t>Linha 3 do Assentamento</t>
        </is>
      </c>
      <c r="D79" s="4" t="inlineStr">
        <is>
          <t>s/n</t>
        </is>
      </c>
      <c r="E79" s="4" t="inlineStr">
        <is>
          <t>Assent. Oeste</t>
        </is>
      </c>
      <c r="F79" s="4" t="inlineStr">
        <is>
          <t>EMEF Centro</t>
        </is>
      </c>
      <c r="G79" s="4" t="inlineStr">
        <is>
          <t>T</t>
        </is>
      </c>
      <c r="H79" s="4" t="inlineStr"/>
      <c r="I79" s="4" t="inlineStr"/>
      <c r="J79" s="4" t="inlineStr"/>
      <c r="K79" s="4" t="inlineStr"/>
      <c r="L79" s="4" t="inlineStr">
        <is>
          <t>descer no ponto do vizinho</t>
        </is>
      </c>
    </row>
    <row r="80">
      <c r="A80" s="5" t="inlineStr">
        <is>
          <t>2026075</t>
        </is>
      </c>
      <c r="B80" s="5" t="inlineStr">
        <is>
          <t>Heitor Almeida</t>
        </is>
      </c>
      <c r="C80" s="5" t="inlineStr">
        <is>
          <t>Rua Projetada A</t>
        </is>
      </c>
      <c r="D80" s="5" t="inlineStr">
        <is>
          <t>527</t>
        </is>
      </c>
      <c r="E80" s="5" t="inlineStr">
        <is>
          <t>Sede Urbana</t>
        </is>
      </c>
      <c r="F80" s="5" t="inlineStr">
        <is>
          <t>EMEF Distrito Norte</t>
        </is>
      </c>
      <c r="G80" s="5" t="inlineStr">
        <is>
          <t>Vespertino</t>
        </is>
      </c>
      <c r="H80" s="5" t="inlineStr"/>
      <c r="I80" s="5" t="inlineStr"/>
      <c r="J80" s="5" t="n">
        <v>-21.151128</v>
      </c>
      <c r="K80" s="5" t="n">
        <v>-47.809269</v>
      </c>
      <c r="L80" s="5" t="inlineStr"/>
    </row>
    <row r="81">
      <c r="A81" s="4" t="inlineStr">
        <is>
          <t>2026076</t>
        </is>
      </c>
      <c r="B81" s="4" t="inlineStr">
        <is>
          <t>Olívia Pereira</t>
        </is>
      </c>
      <c r="C81" s="4" t="inlineStr">
        <is>
          <t>Rua do Córrego</t>
        </is>
      </c>
      <c r="D81" s="4" t="inlineStr">
        <is>
          <t>s/n</t>
        </is>
      </c>
      <c r="E81" s="4" t="inlineStr">
        <is>
          <t>Distrito Norte</t>
        </is>
      </c>
      <c r="F81" s="4" t="inlineStr">
        <is>
          <t>EMEF Vila Rural Sul</t>
        </is>
      </c>
      <c r="G81" s="4" t="inlineStr">
        <is>
          <t>Vespertino</t>
        </is>
      </c>
      <c r="H81" s="4" t="inlineStr"/>
      <c r="I81" s="4" t="inlineStr">
        <is>
          <t>sim</t>
        </is>
      </c>
      <c r="J81" s="4" t="inlineStr"/>
      <c r="K81" s="4" t="inlineStr"/>
      <c r="L81" s="4" t="inlineStr"/>
    </row>
    <row r="82">
      <c r="A82" s="5" t="inlineStr">
        <is>
          <t>2026077</t>
        </is>
      </c>
      <c r="B82" s="5" t="inlineStr">
        <is>
          <t>Marina Barbosa</t>
        </is>
      </c>
      <c r="C82" s="5" t="inlineStr">
        <is>
          <t>Rua Projetada A</t>
        </is>
      </c>
      <c r="D82" s="5" t="inlineStr">
        <is>
          <t>882</t>
        </is>
      </c>
      <c r="E82" s="5" t="inlineStr">
        <is>
          <t>Distrito Leste</t>
        </is>
      </c>
      <c r="F82" s="5" t="inlineStr">
        <is>
          <t>EMEF Vila Rural Sul</t>
        </is>
      </c>
      <c r="G82" s="5" t="inlineStr">
        <is>
          <t>T</t>
        </is>
      </c>
      <c r="H82" s="5" t="inlineStr"/>
      <c r="I82" s="5" t="inlineStr"/>
      <c r="J82" s="5" t="n">
        <v>-21.142351</v>
      </c>
      <c r="K82" s="5" t="n">
        <v>-47.74446</v>
      </c>
      <c r="L82" s="5" t="inlineStr"/>
    </row>
    <row r="83">
      <c r="A83" s="4" t="inlineStr">
        <is>
          <t>2026078</t>
        </is>
      </c>
      <c r="B83" s="4" t="inlineStr">
        <is>
          <t>Lucas Ferreira</t>
        </is>
      </c>
      <c r="C83" s="4" t="inlineStr">
        <is>
          <t>Av. Central</t>
        </is>
      </c>
      <c r="D83" s="4" t="inlineStr">
        <is>
          <t>s/n</t>
        </is>
      </c>
      <c r="E83" s="4" t="inlineStr">
        <is>
          <t>Vila Rural Sul</t>
        </is>
      </c>
      <c r="F83" s="4" t="inlineStr">
        <is>
          <t>EMEF Vila Rural Sul</t>
        </is>
      </c>
      <c r="G83" s="4" t="inlineStr">
        <is>
          <t>MAT</t>
        </is>
      </c>
      <c r="H83" s="4" t="inlineStr"/>
      <c r="I83" s="4" t="inlineStr"/>
      <c r="J83" s="4" t="inlineStr"/>
      <c r="K83" s="4" t="inlineStr"/>
      <c r="L83" s="4" t="inlineStr"/>
    </row>
    <row r="84">
      <c r="A84" s="5" t="inlineStr">
        <is>
          <t>2026079</t>
        </is>
      </c>
      <c r="B84" s="5" t="inlineStr">
        <is>
          <t>Rafael Oliveira</t>
        </is>
      </c>
      <c r="C84" s="5" t="inlineStr">
        <is>
          <t>Sítio Boa Vista</t>
        </is>
      </c>
      <c r="D84" s="5" t="inlineStr">
        <is>
          <t>411</t>
        </is>
      </c>
      <c r="E84" s="5" t="inlineStr">
        <is>
          <t>Assent. Oeste</t>
        </is>
      </c>
      <c r="F84" s="5" t="inlineStr">
        <is>
          <t>EMEF Centro</t>
        </is>
      </c>
      <c r="G84" s="5" t="inlineStr">
        <is>
          <t>M</t>
        </is>
      </c>
      <c r="H84" s="5" t="inlineStr"/>
      <c r="I84" s="5" t="inlineStr"/>
      <c r="J84" s="5" t="n">
        <v>-21.14538</v>
      </c>
      <c r="K84" s="5" t="n">
        <v>-47.860861</v>
      </c>
      <c r="L84" s="5" t="inlineStr"/>
    </row>
    <row r="85">
      <c r="A85" s="4" t="inlineStr">
        <is>
          <t>2026080</t>
        </is>
      </c>
      <c r="B85" s="4" t="inlineStr">
        <is>
          <t>Queila Costa</t>
        </is>
      </c>
      <c r="C85" s="4" t="inlineStr">
        <is>
          <t>Estrada do Assentamento</t>
        </is>
      </c>
      <c r="D85" s="4" t="inlineStr">
        <is>
          <t>s/n</t>
        </is>
      </c>
      <c r="E85" s="4" t="inlineStr">
        <is>
          <t>Sede Urbana</t>
        </is>
      </c>
      <c r="F85" s="4" t="inlineStr">
        <is>
          <t>EMEF Distrito Norte</t>
        </is>
      </c>
      <c r="G85" s="4" t="inlineStr">
        <is>
          <t>manha</t>
        </is>
      </c>
      <c r="H85" s="4" t="inlineStr">
        <is>
          <t>NÃO</t>
        </is>
      </c>
      <c r="I85" s="4" t="inlineStr">
        <is>
          <t>sim</t>
        </is>
      </c>
      <c r="J85" s="4" t="inlineStr"/>
      <c r="K85" s="4" t="inlineStr"/>
      <c r="L85" s="4" t="inlineStr">
        <is>
          <t>família mudou de endereço</t>
        </is>
      </c>
    </row>
    <row r="86">
      <c r="A86" s="5" t="inlineStr">
        <is>
          <t>2026081</t>
        </is>
      </c>
      <c r="B86" s="5" t="inlineStr">
        <is>
          <t>Diego Nascimento</t>
        </is>
      </c>
      <c r="C86" s="5" t="inlineStr">
        <is>
          <t>Rua do Córrego</t>
        </is>
      </c>
      <c r="D86" s="5" t="inlineStr">
        <is>
          <t>862</t>
        </is>
      </c>
      <c r="E86" s="5" t="inlineStr">
        <is>
          <t>Distrito Norte</t>
        </is>
      </c>
      <c r="F86" s="5" t="inlineStr">
        <is>
          <t>EMEF Vila Rural Sul</t>
        </is>
      </c>
      <c r="G86" s="5" t="inlineStr">
        <is>
          <t>Manhã</t>
        </is>
      </c>
      <c r="H86" s="5" t="inlineStr">
        <is>
          <t>N</t>
        </is>
      </c>
      <c r="I86" s="5" t="inlineStr"/>
      <c r="J86" s="5" t="n">
        <v>-21.117866</v>
      </c>
      <c r="K86" s="5" t="n">
        <v>-47.742405</v>
      </c>
      <c r="L86" s="5" t="inlineStr"/>
    </row>
    <row r="87">
      <c r="A87" s="4" t="inlineStr">
        <is>
          <t>2026082</t>
        </is>
      </c>
      <c r="B87" s="4" t="inlineStr">
        <is>
          <t>Úrsula Gomes</t>
        </is>
      </c>
      <c r="C87" s="4" t="inlineStr">
        <is>
          <t>Rua das Acácias</t>
        </is>
      </c>
      <c r="D87" s="4" t="inlineStr">
        <is>
          <t>s/n</t>
        </is>
      </c>
      <c r="E87" s="4" t="inlineStr">
        <is>
          <t>Distrito Leste</t>
        </is>
      </c>
      <c r="F87" s="4" t="inlineStr">
        <is>
          <t>EMEF Distrito Norte</t>
        </is>
      </c>
      <c r="G87" s="4" t="inlineStr">
        <is>
          <t>MAT</t>
        </is>
      </c>
      <c r="H87" s="4" t="inlineStr"/>
      <c r="I87" s="4" t="inlineStr">
        <is>
          <t>sim</t>
        </is>
      </c>
      <c r="J87" s="4" t="inlineStr"/>
      <c r="K87" s="4" t="inlineStr"/>
      <c r="L87" s="4" t="inlineStr"/>
    </row>
    <row r="88">
      <c r="A88" s="5" t="inlineStr">
        <is>
          <t>2026083</t>
        </is>
      </c>
      <c r="B88" s="5" t="inlineStr">
        <is>
          <t>Ana Costa</t>
        </is>
      </c>
      <c r="C88" s="5" t="inlineStr">
        <is>
          <t>Estrada do Assentamento</t>
        </is>
      </c>
      <c r="D88" s="5" t="inlineStr">
        <is>
          <t>718</t>
        </is>
      </c>
      <c r="E88" s="5" t="inlineStr">
        <is>
          <t>Vila Rural Sul</t>
        </is>
      </c>
      <c r="F88" s="5" t="inlineStr">
        <is>
          <t>EMEF Vila Rural Sul</t>
        </is>
      </c>
      <c r="G88" s="5" t="inlineStr">
        <is>
          <t>manha</t>
        </is>
      </c>
      <c r="H88" s="5" t="inlineStr"/>
      <c r="I88" s="5" t="inlineStr"/>
      <c r="J88" s="5" t="n">
        <v>-21.249686</v>
      </c>
      <c r="K88" s="5" t="n">
        <v>-47.802716</v>
      </c>
      <c r="L88" s="5" t="inlineStr">
        <is>
          <t>família mudou de endereço</t>
        </is>
      </c>
    </row>
    <row r="89">
      <c r="A89" s="4" t="inlineStr">
        <is>
          <t>2026084</t>
        </is>
      </c>
      <c r="B89" s="4" t="inlineStr">
        <is>
          <t>Heitor Nascimento</t>
        </is>
      </c>
      <c r="C89" s="4" t="inlineStr">
        <is>
          <t>Linha 3 do Assentamento</t>
        </is>
      </c>
      <c r="D89" s="4" t="inlineStr">
        <is>
          <t>s/n</t>
        </is>
      </c>
      <c r="E89" s="4" t="inlineStr">
        <is>
          <t>Assent. Oeste</t>
        </is>
      </c>
      <c r="F89" s="4" t="inlineStr">
        <is>
          <t>EMEF Distrito Norte</t>
        </is>
      </c>
      <c r="G89" s="4" t="inlineStr">
        <is>
          <t>M</t>
        </is>
      </c>
      <c r="H89" s="4" t="inlineStr"/>
      <c r="I89" s="4" t="inlineStr"/>
      <c r="J89" s="4" t="inlineStr"/>
      <c r="K89" s="4" t="inlineStr"/>
      <c r="L89" s="4" t="inlineStr"/>
    </row>
    <row r="90">
      <c r="A90" s="5" t="inlineStr">
        <is>
          <t>2026084</t>
        </is>
      </c>
      <c r="B90" s="5" t="inlineStr">
        <is>
          <t>Heitor Nascimento</t>
        </is>
      </c>
      <c r="C90" s="5" t="inlineStr">
        <is>
          <t>Linha 3 do Assentamento</t>
        </is>
      </c>
      <c r="D90" s="5" t="inlineStr">
        <is>
          <t>s/n</t>
        </is>
      </c>
      <c r="E90" s="5" t="inlineStr">
        <is>
          <t>Assent. Oeste</t>
        </is>
      </c>
      <c r="F90" s="5" t="inlineStr">
        <is>
          <t>EMEF Distrito Norte</t>
        </is>
      </c>
      <c r="G90" s="5" t="inlineStr">
        <is>
          <t>M</t>
        </is>
      </c>
      <c r="H90" s="5" t="inlineStr"/>
      <c r="I90" s="5" t="inlineStr"/>
      <c r="J90" s="5" t="inlineStr"/>
      <c r="K90" s="5" t="inlineStr"/>
      <c r="L90" s="5" t="inlineStr"/>
    </row>
    <row r="91">
      <c r="A91" s="4" t="inlineStr">
        <is>
          <t>2026085</t>
        </is>
      </c>
      <c r="B91" s="4" t="inlineStr">
        <is>
          <t>Bruno Silva</t>
        </is>
      </c>
      <c r="C91" s="4" t="inlineStr">
        <is>
          <t>Av. Central</t>
        </is>
      </c>
      <c r="D91" s="4" t="inlineStr">
        <is>
          <t>176</t>
        </is>
      </c>
      <c r="E91" s="4" t="inlineStr">
        <is>
          <t>Sede Urbana</t>
        </is>
      </c>
      <c r="F91" s="4" t="inlineStr">
        <is>
          <t>EMEF Centro</t>
        </is>
      </c>
      <c r="G91" s="4" t="inlineStr">
        <is>
          <t>manha</t>
        </is>
      </c>
      <c r="H91" s="4" t="inlineStr"/>
      <c r="I91" s="4" t="inlineStr"/>
      <c r="J91" s="4" t="n">
        <v>-21.147988</v>
      </c>
      <c r="K91" s="4" t="n">
        <v>-47.802119</v>
      </c>
      <c r="L91" s="4" t="inlineStr">
        <is>
          <t>estrada ruim em dia de chuva</t>
        </is>
      </c>
    </row>
    <row r="92">
      <c r="A92" s="5" t="inlineStr">
        <is>
          <t>2026086</t>
        </is>
      </c>
      <c r="B92" s="5" t="inlineStr">
        <is>
          <t>Marina Costa</t>
        </is>
      </c>
      <c r="C92" s="5" t="inlineStr">
        <is>
          <t>Av. Central</t>
        </is>
      </c>
      <c r="D92" s="5" t="inlineStr">
        <is>
          <t>s/n</t>
        </is>
      </c>
      <c r="E92" s="5" t="inlineStr">
        <is>
          <t>Distrito Norte</t>
        </is>
      </c>
      <c r="F92" s="5" t="inlineStr">
        <is>
          <t>EMEF Distrito Norte</t>
        </is>
      </c>
      <c r="G92" s="5" t="inlineStr">
        <is>
          <t>MAT</t>
        </is>
      </c>
      <c r="H92" s="5" t="inlineStr"/>
      <c r="I92" s="5" t="inlineStr">
        <is>
          <t>sim</t>
        </is>
      </c>
      <c r="J92" s="5" t="inlineStr"/>
      <c r="K92" s="5" t="inlineStr"/>
      <c r="L92" s="5" t="inlineStr"/>
    </row>
    <row r="93">
      <c r="A93" s="4" t="inlineStr">
        <is>
          <t>2026087</t>
        </is>
      </c>
      <c r="B93" s="4" t="inlineStr">
        <is>
          <t>Sônia Martins</t>
        </is>
      </c>
      <c r="C93" s="4" t="inlineStr">
        <is>
          <t>Av. Central</t>
        </is>
      </c>
      <c r="D93" s="4" t="inlineStr">
        <is>
          <t>704</t>
        </is>
      </c>
      <c r="E93" s="4" t="inlineStr">
        <is>
          <t>Distrito Leste</t>
        </is>
      </c>
      <c r="F93" s="4" t="inlineStr">
        <is>
          <t>EMEF Distrito Norte</t>
        </is>
      </c>
      <c r="G93" s="4" t="inlineStr">
        <is>
          <t>manha</t>
        </is>
      </c>
      <c r="H93" s="4" t="inlineStr"/>
      <c r="I93" s="4" t="inlineStr"/>
      <c r="J93" s="4" t="n">
        <v>-21.157462</v>
      </c>
      <c r="K93" s="4" t="n">
        <v>-47.698371</v>
      </c>
      <c r="L93" s="4" t="inlineStr"/>
    </row>
    <row r="94">
      <c r="A94" s="5" t="inlineStr">
        <is>
          <t>2026088</t>
        </is>
      </c>
      <c r="B94" s="5" t="inlineStr">
        <is>
          <t>Marina Souza</t>
        </is>
      </c>
      <c r="C94" s="5" t="inlineStr">
        <is>
          <t>Rua do Córrego</t>
        </is>
      </c>
      <c r="D94" s="5" t="inlineStr">
        <is>
          <t>s/n</t>
        </is>
      </c>
      <c r="E94" s="5" t="inlineStr">
        <is>
          <t>Vila Rural Sul</t>
        </is>
      </c>
      <c r="F94" s="5" t="inlineStr">
        <is>
          <t>EMEF Vila Rural Sul</t>
        </is>
      </c>
      <c r="G94" s="5" t="inlineStr">
        <is>
          <t>Vespertino</t>
        </is>
      </c>
      <c r="H94" s="5" t="inlineStr"/>
      <c r="I94" s="5" t="inlineStr"/>
      <c r="J94" s="5" t="inlineStr"/>
      <c r="K94" s="5" t="inlineStr"/>
      <c r="L94" s="5" t="inlineStr">
        <is>
          <t>estrada ruim em dia de chuva</t>
        </is>
      </c>
    </row>
    <row r="95">
      <c r="A95" s="4" t="inlineStr">
        <is>
          <t>2026089</t>
        </is>
      </c>
      <c r="B95" s="4" t="inlineStr">
        <is>
          <t>Carla Barbosa</t>
        </is>
      </c>
      <c r="C95" s="4" t="inlineStr">
        <is>
          <t>Estrada do Assentamento</t>
        </is>
      </c>
      <c r="D95" s="4" t="inlineStr">
        <is>
          <t>387</t>
        </is>
      </c>
      <c r="E95" s="4" t="inlineStr">
        <is>
          <t>Assent. Oeste</t>
        </is>
      </c>
      <c r="F95" s="4" t="inlineStr">
        <is>
          <t>EMEF Centro</t>
        </is>
      </c>
      <c r="G95" s="4" t="inlineStr">
        <is>
          <t>Tarde</t>
        </is>
      </c>
      <c r="H95" s="4" t="inlineStr"/>
      <c r="I95" s="4" t="inlineStr"/>
      <c r="J95" s="4" t="n">
        <v>-21.208319</v>
      </c>
      <c r="K95" s="4" t="n">
        <v>-47.904817</v>
      </c>
      <c r="L95" s="4" t="inlineStr"/>
    </row>
    <row r="96">
      <c r="A96" s="5" t="inlineStr">
        <is>
          <t>2026090</t>
        </is>
      </c>
      <c r="B96" s="5" t="inlineStr">
        <is>
          <t>João Barbosa</t>
        </is>
      </c>
      <c r="C96" s="5" t="inlineStr">
        <is>
          <t>Av. Central</t>
        </is>
      </c>
      <c r="D96" s="5" t="inlineStr">
        <is>
          <t>732</t>
        </is>
      </c>
      <c r="E96" s="5" t="inlineStr">
        <is>
          <t>Sede Urbana</t>
        </is>
      </c>
      <c r="F96" s="5" t="inlineStr">
        <is>
          <t>EMEF Distrito Norte</t>
        </is>
      </c>
      <c r="G96" s="5" t="inlineStr">
        <is>
          <t>MAT</t>
        </is>
      </c>
      <c r="H96" s="5" t="inlineStr"/>
      <c r="I96" s="5" t="inlineStr"/>
      <c r="J96" s="5" t="n">
        <v>-21.132992</v>
      </c>
      <c r="K96" s="5" t="n">
        <v>-47.805668</v>
      </c>
      <c r="L96" s="5" t="inlineStr"/>
    </row>
    <row r="97">
      <c r="A97" s="4" t="inlineStr">
        <is>
          <t>2026091</t>
        </is>
      </c>
      <c r="B97" s="4" t="inlineStr">
        <is>
          <t>Tiago Araújo</t>
        </is>
      </c>
      <c r="C97" s="4" t="inlineStr">
        <is>
          <t>Rua do Córrego</t>
        </is>
      </c>
      <c r="D97" s="4" t="inlineStr">
        <is>
          <t>s/n</t>
        </is>
      </c>
      <c r="E97" s="4" t="inlineStr">
        <is>
          <t>Distrito Norte</t>
        </is>
      </c>
      <c r="F97" s="4" t="inlineStr">
        <is>
          <t>EMEF Centro</t>
        </is>
      </c>
      <c r="G97" s="4" t="inlineStr">
        <is>
          <t>MAT</t>
        </is>
      </c>
      <c r="H97" s="4" t="inlineStr"/>
      <c r="I97" s="4" t="inlineStr"/>
      <c r="J97" s="4" t="inlineStr"/>
      <c r="K97" s="4" t="inlineStr"/>
      <c r="L97" s="4" t="inlineStr">
        <is>
          <t>porteira fechada, buzinar</t>
        </is>
      </c>
    </row>
    <row r="98">
      <c r="A98" s="5" t="inlineStr">
        <is>
          <t>2026092</t>
        </is>
      </c>
      <c r="B98" s="5" t="inlineStr">
        <is>
          <t>ELIS RODRIGUES</t>
        </is>
      </c>
      <c r="C98" s="5" t="inlineStr">
        <is>
          <t>Rua das Acácias</t>
        </is>
      </c>
      <c r="D98" s="5" t="inlineStr">
        <is>
          <t>s/n</t>
        </is>
      </c>
      <c r="E98" s="5" t="inlineStr">
        <is>
          <t>Distrito Leste</t>
        </is>
      </c>
      <c r="F98" s="5" t="inlineStr">
        <is>
          <t>EMEF Distrito Norte</t>
        </is>
      </c>
      <c r="G98" s="5" t="inlineStr">
        <is>
          <t>Tarde</t>
        </is>
      </c>
      <c r="H98" s="5" t="inlineStr">
        <is>
          <t>NÃO</t>
        </is>
      </c>
      <c r="I98" s="5" t="inlineStr"/>
      <c r="J98" s="5" t="inlineStr"/>
      <c r="K98" s="5" t="inlineStr"/>
      <c r="L98" s="5" t="inlineStr"/>
    </row>
    <row r="99">
      <c r="A99" s="4" t="inlineStr">
        <is>
          <t>2026093</t>
        </is>
      </c>
      <c r="B99" s="4" t="inlineStr">
        <is>
          <t xml:space="preserve">  Olívia Ferreira </t>
        </is>
      </c>
      <c r="C99" s="4" t="inlineStr">
        <is>
          <t>Estrada do Assentamento</t>
        </is>
      </c>
      <c r="D99" s="4" t="inlineStr">
        <is>
          <t>867</t>
        </is>
      </c>
      <c r="E99" s="4" t="inlineStr">
        <is>
          <t>Vila Rural Sul</t>
        </is>
      </c>
      <c r="F99" s="4" t="inlineStr">
        <is>
          <t>EMEF Distrito Norte</t>
        </is>
      </c>
      <c r="G99" s="4" t="inlineStr">
        <is>
          <t>Tarde</t>
        </is>
      </c>
      <c r="H99" s="4" t="inlineStr"/>
      <c r="I99" s="4" t="inlineStr"/>
      <c r="J99" s="4" t="n">
        <v>-21.235716</v>
      </c>
      <c r="K99" s="4" t="n">
        <v>-47.848318</v>
      </c>
      <c r="L99" s="4" t="inlineStr">
        <is>
          <t>porteira fechada, buzinar</t>
        </is>
      </c>
    </row>
    <row r="100">
      <c r="A100" s="5" t="inlineStr">
        <is>
          <t>2026094</t>
        </is>
      </c>
      <c r="B100" s="5" t="inlineStr">
        <is>
          <t>Ivone Nascimento</t>
        </is>
      </c>
      <c r="C100" s="5" t="inlineStr">
        <is>
          <t>Travessa São José</t>
        </is>
      </c>
      <c r="D100" s="5" t="inlineStr">
        <is>
          <t>838</t>
        </is>
      </c>
      <c r="E100" s="5" t="inlineStr">
        <is>
          <t>Assent. Oeste</t>
        </is>
      </c>
      <c r="F100" s="5" t="inlineStr">
        <is>
          <t>EMEF Centro</t>
        </is>
      </c>
      <c r="G100" s="5" t="inlineStr">
        <is>
          <t>MAT</t>
        </is>
      </c>
      <c r="H100" s="5" t="inlineStr"/>
      <c r="I100" s="5" t="inlineStr">
        <is>
          <t>sim</t>
        </is>
      </c>
      <c r="J100" s="5" t="n">
        <v>-21.177165</v>
      </c>
      <c r="K100" s="5" t="n">
        <v>-47.901284</v>
      </c>
      <c r="L100" s="5" t="inlineStr"/>
    </row>
    <row r="101">
      <c r="A101" s="4" t="inlineStr">
        <is>
          <t>2026095</t>
        </is>
      </c>
      <c r="B101" s="4" t="inlineStr">
        <is>
          <t>Wesley Costa</t>
        </is>
      </c>
      <c r="C101" s="4" t="inlineStr">
        <is>
          <t>Travessa São José</t>
        </is>
      </c>
      <c r="D101" s="4" t="inlineStr">
        <is>
          <t>170</t>
        </is>
      </c>
      <c r="E101" s="4" t="inlineStr">
        <is>
          <t>Sede Urbana</t>
        </is>
      </c>
      <c r="F101" s="4" t="inlineStr">
        <is>
          <t>EMEF Centro</t>
        </is>
      </c>
      <c r="G101" s="4" t="inlineStr">
        <is>
          <t>M</t>
        </is>
      </c>
      <c r="H101" s="4" t="inlineStr"/>
      <c r="I101" s="4" t="inlineStr"/>
      <c r="J101" s="4" t="n">
        <v>-21.140642</v>
      </c>
      <c r="K101" s="4" t="n">
        <v>-47.803479</v>
      </c>
      <c r="L101" s="4" t="inlineStr">
        <is>
          <t>família mudou de endereço</t>
        </is>
      </c>
    </row>
    <row r="102">
      <c r="A102" s="5" t="inlineStr">
        <is>
          <t>2026096</t>
        </is>
      </c>
      <c r="B102" s="5" t="inlineStr">
        <is>
          <t>Marina Pereira</t>
        </is>
      </c>
      <c r="C102" s="5" t="inlineStr">
        <is>
          <t>Sítio Boa Vista</t>
        </is>
      </c>
      <c r="D102" s="5" t="inlineStr">
        <is>
          <t>711</t>
        </is>
      </c>
      <c r="E102" s="5" t="inlineStr">
        <is>
          <t>Distrito Norte</t>
        </is>
      </c>
      <c r="F102" s="5" t="inlineStr">
        <is>
          <t>EMEF Distrito Norte</t>
        </is>
      </c>
      <c r="G102" s="5" t="inlineStr">
        <is>
          <t>T</t>
        </is>
      </c>
      <c r="H102" s="5" t="inlineStr">
        <is>
          <t>-</t>
        </is>
      </c>
      <c r="I102" s="5" t="inlineStr"/>
      <c r="J102" s="5" t="n">
        <v>-21.101827</v>
      </c>
      <c r="K102" s="5" t="n">
        <v>-47.767424</v>
      </c>
      <c r="L102" s="5" t="inlineStr"/>
    </row>
    <row r="103">
      <c r="A103" s="4" t="inlineStr">
        <is>
          <t>2026097</t>
        </is>
      </c>
      <c r="B103" s="4" t="inlineStr">
        <is>
          <t>Queila Costa</t>
        </is>
      </c>
      <c r="C103" s="4" t="inlineStr">
        <is>
          <t>Av. Central</t>
        </is>
      </c>
      <c r="D103" s="4" t="inlineStr">
        <is>
          <t>869</t>
        </is>
      </c>
      <c r="E103" s="4" t="inlineStr">
        <is>
          <t>Distrito Leste</t>
        </is>
      </c>
      <c r="F103" s="4" t="inlineStr">
        <is>
          <t>EMEF Distrito Norte</t>
        </is>
      </c>
      <c r="G103" s="4" t="inlineStr">
        <is>
          <t>manha</t>
        </is>
      </c>
      <c r="H103" s="4" t="inlineStr"/>
      <c r="I103" s="4" t="inlineStr"/>
      <c r="J103" s="4" t="n">
        <v>-13.131759</v>
      </c>
      <c r="K103" s="4" t="n">
        <v>-47.740713</v>
      </c>
      <c r="L103" s="4" t="inlineStr">
        <is>
          <t>descer no ponto do vizinho</t>
        </is>
      </c>
    </row>
    <row r="104">
      <c r="A104" s="5" t="inlineStr">
        <is>
          <t>2026098</t>
        </is>
      </c>
      <c r="B104" s="5" t="inlineStr">
        <is>
          <t>Vinícius Silva</t>
        </is>
      </c>
      <c r="C104" s="5" t="inlineStr">
        <is>
          <t>Linha 3 do Assentamento</t>
        </is>
      </c>
      <c r="D104" s="5" t="inlineStr">
        <is>
          <t>346</t>
        </is>
      </c>
      <c r="E104" s="5" t="inlineStr">
        <is>
          <t>Vila Rural Sul</t>
        </is>
      </c>
      <c r="F104" s="5" t="inlineStr">
        <is>
          <t>EMEF Vila Rural Sul</t>
        </is>
      </c>
      <c r="G104" s="5" t="inlineStr">
        <is>
          <t>Tarde</t>
        </is>
      </c>
      <c r="H104" s="5" t="inlineStr">
        <is>
          <t>-</t>
        </is>
      </c>
      <c r="I104" s="5" t="inlineStr"/>
      <c r="J104" s="5" t="n">
        <v>-21.19692</v>
      </c>
      <c r="K104" s="5" t="n">
        <v>-47.812228</v>
      </c>
      <c r="L104" s="5" t="inlineStr">
        <is>
          <t>família mudou de endereço</t>
        </is>
      </c>
    </row>
    <row r="105">
      <c r="A105" s="4" t="inlineStr">
        <is>
          <t>2026099</t>
        </is>
      </c>
      <c r="B105" s="4" t="inlineStr">
        <is>
          <t>Queila Costa</t>
        </is>
      </c>
      <c r="C105" s="4" t="inlineStr">
        <is>
          <t>Linha 3 do Assentamento</t>
        </is>
      </c>
      <c r="D105" s="4" t="inlineStr">
        <is>
          <t>s/n</t>
        </is>
      </c>
      <c r="E105" s="4" t="inlineStr">
        <is>
          <t>Assent. Oeste</t>
        </is>
      </c>
      <c r="F105" s="4" t="inlineStr">
        <is>
          <t>EMEF Distrito Norte</t>
        </is>
      </c>
      <c r="G105" s="4" t="inlineStr">
        <is>
          <t>T</t>
        </is>
      </c>
      <c r="H105" s="4" t="inlineStr"/>
      <c r="I105" s="4" t="inlineStr"/>
      <c r="J105" s="4" t="inlineStr"/>
      <c r="K105" s="4" t="inlineStr"/>
      <c r="L105" s="4" t="inlineStr"/>
    </row>
    <row r="106">
      <c r="A106" s="5" t="inlineStr">
        <is>
          <t>2026100</t>
        </is>
      </c>
      <c r="B106" s="5" t="inlineStr">
        <is>
          <t>Nelson Araújo</t>
        </is>
      </c>
      <c r="C106" s="5" t="inlineStr">
        <is>
          <t>Rua Projetada A</t>
        </is>
      </c>
      <c r="D106" s="5" t="inlineStr">
        <is>
          <t>573</t>
        </is>
      </c>
      <c r="E106" s="5" t="inlineStr">
        <is>
          <t>Sede Urbana</t>
        </is>
      </c>
      <c r="F106" s="5" t="inlineStr">
        <is>
          <t>EMEF Vila Rural Sul</t>
        </is>
      </c>
      <c r="G106" s="5" t="inlineStr">
        <is>
          <t>Vespertino</t>
        </is>
      </c>
      <c r="H106" s="5" t="inlineStr"/>
      <c r="I106" s="5" t="inlineStr"/>
      <c r="J106" s="5" t="n">
        <v>-21.145579</v>
      </c>
      <c r="K106" s="5" t="n">
        <v>-47.785256</v>
      </c>
      <c r="L106" s="5" t="inlineStr"/>
    </row>
    <row r="107">
      <c r="A107" s="4" t="inlineStr">
        <is>
          <t>2026101</t>
        </is>
      </c>
      <c r="B107" s="4" t="inlineStr">
        <is>
          <t>Diego Pereira</t>
        </is>
      </c>
      <c r="C107" s="4" t="inlineStr">
        <is>
          <t>Av. Central</t>
        </is>
      </c>
      <c r="D107" s="4" t="inlineStr">
        <is>
          <t>446</t>
        </is>
      </c>
      <c r="E107" s="4" t="inlineStr">
        <is>
          <t>Distrito Norte</t>
        </is>
      </c>
      <c r="F107" s="4" t="inlineStr">
        <is>
          <t>EMEF Vila Rural Sul</t>
        </is>
      </c>
      <c r="G107" s="4" t="inlineStr">
        <is>
          <t>M</t>
        </is>
      </c>
      <c r="H107" s="4" t="inlineStr"/>
      <c r="I107" s="4" t="inlineStr"/>
      <c r="J107" s="4" t="n">
        <v>-21.090568</v>
      </c>
      <c r="K107" s="4" t="n">
        <v>-47.776384</v>
      </c>
      <c r="L107" s="4" t="inlineStr"/>
    </row>
    <row r="108">
      <c r="A108" s="5" t="inlineStr">
        <is>
          <t>2026102</t>
        </is>
      </c>
      <c r="B108" s="5" t="inlineStr">
        <is>
          <t>Diego Pereira</t>
        </is>
      </c>
      <c r="C108" s="5" t="inlineStr">
        <is>
          <t>Linha 3 do Assentamento</t>
        </is>
      </c>
      <c r="D108" s="5" t="inlineStr">
        <is>
          <t>642</t>
        </is>
      </c>
      <c r="E108" s="5" t="inlineStr">
        <is>
          <t>Distrito Leste</t>
        </is>
      </c>
      <c r="F108" s="5" t="inlineStr">
        <is>
          <t>EMEF Centro</t>
        </is>
      </c>
      <c r="G108" s="5" t="inlineStr">
        <is>
          <t>Vespertino</t>
        </is>
      </c>
      <c r="H108" s="5" t="inlineStr"/>
      <c r="I108" s="5" t="inlineStr"/>
      <c r="J108" s="5" t="n">
        <v>-21.142899</v>
      </c>
      <c r="K108" s="5" t="n">
        <v>-47.730403</v>
      </c>
      <c r="L108" s="5" t="inlineStr"/>
    </row>
    <row r="109">
      <c r="A109" s="4" t="inlineStr">
        <is>
          <t>2026103</t>
        </is>
      </c>
      <c r="B109" s="4" t="inlineStr">
        <is>
          <t>Diego Souza</t>
        </is>
      </c>
      <c r="C109" s="4" t="inlineStr">
        <is>
          <t>Av. Central</t>
        </is>
      </c>
      <c r="D109" s="4" t="inlineStr">
        <is>
          <t>s/n</t>
        </is>
      </c>
      <c r="E109" s="4" t="inlineStr">
        <is>
          <t>Vila Rural Sul</t>
        </is>
      </c>
      <c r="F109" s="4" t="inlineStr">
        <is>
          <t>EMEF Distrito Norte</t>
        </is>
      </c>
      <c r="G109" s="4" t="inlineStr">
        <is>
          <t>Vespertino</t>
        </is>
      </c>
      <c r="H109" s="4" t="inlineStr"/>
      <c r="I109" s="4" t="inlineStr"/>
      <c r="J109" s="4" t="inlineStr"/>
      <c r="K109" s="4" t="inlineStr"/>
      <c r="L109" s="4" t="inlineStr"/>
    </row>
    <row r="110">
      <c r="A110" s="5" t="inlineStr">
        <is>
          <t>2026104</t>
        </is>
      </c>
      <c r="B110" s="5" t="inlineStr">
        <is>
          <t>Rafael Martins</t>
        </is>
      </c>
      <c r="C110" s="5" t="inlineStr">
        <is>
          <t>Travessa São José</t>
        </is>
      </c>
      <c r="D110" s="5" t="inlineStr">
        <is>
          <t>243</t>
        </is>
      </c>
      <c r="E110" s="5" t="inlineStr">
        <is>
          <t>Assent. Oeste</t>
        </is>
      </c>
      <c r="F110" s="5" t="inlineStr">
        <is>
          <t>EMEF Centro</t>
        </is>
      </c>
      <c r="G110" s="5" t="inlineStr">
        <is>
          <t xml:space="preserve">tarde </t>
        </is>
      </c>
      <c r="H110" s="5" t="inlineStr"/>
      <c r="I110" s="5" t="inlineStr"/>
      <c r="J110" s="5" t="n">
        <v>-21.162444</v>
      </c>
      <c r="K110" s="5" t="n">
        <v>-47.915031</v>
      </c>
      <c r="L110" s="5" t="inlineStr"/>
    </row>
    <row r="111">
      <c r="A111" s="4" t="inlineStr">
        <is>
          <t>2026105</t>
        </is>
      </c>
      <c r="B111" s="4" t="inlineStr">
        <is>
          <t>Rafael Ribeiro</t>
        </is>
      </c>
      <c r="C111" s="4" t="inlineStr">
        <is>
          <t>Av. Central</t>
        </is>
      </c>
      <c r="D111" s="4" t="inlineStr">
        <is>
          <t>s/n</t>
        </is>
      </c>
      <c r="E111" s="4" t="inlineStr">
        <is>
          <t>Sede Urbana</t>
        </is>
      </c>
      <c r="F111" s="4" t="inlineStr">
        <is>
          <t>EMEF Centro</t>
        </is>
      </c>
      <c r="G111" s="4" t="inlineStr">
        <is>
          <t>Manhã</t>
        </is>
      </c>
      <c r="H111" s="4" t="inlineStr"/>
      <c r="I111" s="4" t="inlineStr"/>
      <c r="J111" s="4" t="inlineStr"/>
      <c r="K111" s="4" t="inlineStr"/>
      <c r="L111" s="4" t="inlineStr"/>
    </row>
    <row r="112">
      <c r="A112" s="5" t="inlineStr">
        <is>
          <t>2026106</t>
        </is>
      </c>
      <c r="B112" s="5" t="inlineStr">
        <is>
          <t>Olívia Nascimento</t>
        </is>
      </c>
      <c r="C112" s="5" t="inlineStr">
        <is>
          <t>Rua das Acácias</t>
        </is>
      </c>
      <c r="D112" s="5" t="inlineStr">
        <is>
          <t>418</t>
        </is>
      </c>
      <c r="E112" s="5" t="inlineStr">
        <is>
          <t>Distrito Norte</t>
        </is>
      </c>
      <c r="F112" s="5" t="inlineStr">
        <is>
          <t>EMEF Centro</t>
        </is>
      </c>
      <c r="G112" s="5" t="inlineStr">
        <is>
          <t>Vespertino</t>
        </is>
      </c>
      <c r="H112" s="5" t="inlineStr"/>
      <c r="I112" s="5" t="inlineStr"/>
      <c r="J112" s="5" t="n">
        <v>-21.091466</v>
      </c>
      <c r="K112" s="5" t="n">
        <v>-47.755169</v>
      </c>
      <c r="L112" s="5" t="inlineStr">
        <is>
          <t>família mudou de endereço</t>
        </is>
      </c>
    </row>
    <row r="113">
      <c r="A113" s="4" t="inlineStr">
        <is>
          <t>2026107</t>
        </is>
      </c>
      <c r="B113" s="4" t="inlineStr">
        <is>
          <t>Queila Pereira</t>
        </is>
      </c>
      <c r="C113" s="4" t="inlineStr">
        <is>
          <t>Av. Central</t>
        </is>
      </c>
      <c r="D113" s="4" t="inlineStr">
        <is>
          <t>617</t>
        </is>
      </c>
      <c r="E113" s="4" t="inlineStr">
        <is>
          <t>Distrito Leste</t>
        </is>
      </c>
      <c r="F113" s="4" t="inlineStr">
        <is>
          <t>EMEF Vila Rural Sul</t>
        </is>
      </c>
      <c r="G113" s="4" t="inlineStr">
        <is>
          <t>Tarde</t>
        </is>
      </c>
      <c r="H113" s="4" t="inlineStr"/>
      <c r="I113" s="4" t="inlineStr"/>
      <c r="J113" s="4" t="n">
        <v>-21.150195</v>
      </c>
      <c r="K113" s="4" t="n">
        <v>-47.742516</v>
      </c>
      <c r="L113" s="4" t="inlineStr"/>
    </row>
    <row r="114">
      <c r="A114" s="5" t="inlineStr">
        <is>
          <t>2026108</t>
        </is>
      </c>
      <c r="B114" s="5" t="inlineStr">
        <is>
          <t>Wesley Pereira</t>
        </is>
      </c>
      <c r="C114" s="5" t="inlineStr">
        <is>
          <t>Estrada do Assentamento</t>
        </is>
      </c>
      <c r="D114" s="5" t="inlineStr">
        <is>
          <t>592</t>
        </is>
      </c>
      <c r="E114" s="5" t="inlineStr">
        <is>
          <t>Vila Rural Sul</t>
        </is>
      </c>
      <c r="F114" s="5" t="inlineStr">
        <is>
          <t>EMEF Vila Rural Sul</t>
        </is>
      </c>
      <c r="G114" s="5" t="inlineStr">
        <is>
          <t>Tarde</t>
        </is>
      </c>
      <c r="H114" s="5" t="inlineStr"/>
      <c r="I114" s="5" t="inlineStr"/>
      <c r="J114" s="5" t="n">
        <v>-21.195816</v>
      </c>
      <c r="K114" s="5" t="n">
        <v>-47.841803</v>
      </c>
      <c r="L114" s="5" t="inlineStr">
        <is>
          <t>porteira fechada, buzinar</t>
        </is>
      </c>
    </row>
    <row r="115">
      <c r="A115" s="4" t="inlineStr">
        <is>
          <t>2026109</t>
        </is>
      </c>
      <c r="B115" s="4" t="inlineStr">
        <is>
          <t>Heitor Barbosa</t>
        </is>
      </c>
      <c r="C115" s="4" t="inlineStr">
        <is>
          <t>Linha 3 do Assentamento</t>
        </is>
      </c>
      <c r="D115" s="4" t="inlineStr">
        <is>
          <t>s/n</t>
        </is>
      </c>
      <c r="E115" s="4" t="inlineStr">
        <is>
          <t>Assent. Oeste</t>
        </is>
      </c>
      <c r="F115" s="4" t="inlineStr">
        <is>
          <t>EMEF Centro</t>
        </is>
      </c>
      <c r="G115" s="4" t="inlineStr">
        <is>
          <t>Vespertino</t>
        </is>
      </c>
      <c r="H115" s="4" t="inlineStr"/>
      <c r="I115" s="4" t="inlineStr"/>
      <c r="J115" s="4" t="inlineStr"/>
      <c r="K115" s="4" t="inlineStr"/>
      <c r="L115" s="4" t="inlineStr">
        <is>
          <t>porteira fechada, buzinar</t>
        </is>
      </c>
    </row>
    <row r="116">
      <c r="A116" s="5" t="inlineStr">
        <is>
          <t>2026110</t>
        </is>
      </c>
      <c r="B116" s="5" t="inlineStr">
        <is>
          <t>Queila Nascimento</t>
        </is>
      </c>
      <c r="C116" s="5" t="inlineStr">
        <is>
          <t>Rua Projetada A</t>
        </is>
      </c>
      <c r="D116" s="5" t="inlineStr">
        <is>
          <t>725</t>
        </is>
      </c>
      <c r="E116" s="5" t="inlineStr">
        <is>
          <t>Sede Urbana</t>
        </is>
      </c>
      <c r="F116" s="5" t="inlineStr">
        <is>
          <t>EMEF Vila Rural Sul</t>
        </is>
      </c>
      <c r="G116" s="5" t="inlineStr">
        <is>
          <t xml:space="preserve">tarde </t>
        </is>
      </c>
      <c r="H116" s="5" t="inlineStr"/>
      <c r="I116" s="5" t="inlineStr"/>
      <c r="J116" s="5" t="n">
        <v>-21.141415</v>
      </c>
      <c r="K116" s="5" t="n">
        <v>-47.786712</v>
      </c>
      <c r="L116" s="5" t="inlineStr">
        <is>
          <t>porteira fechada, buzinar</t>
        </is>
      </c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</row>
    <row r="118">
      <c r="A118" s="5" t="inlineStr">
        <is>
          <t>2026111</t>
        </is>
      </c>
      <c r="B118" s="5" t="inlineStr">
        <is>
          <t>Ivone Costa</t>
        </is>
      </c>
      <c r="C118" s="5" t="inlineStr">
        <is>
          <t>Rua Projetada A</t>
        </is>
      </c>
      <c r="D118" s="5" t="inlineStr">
        <is>
          <t>616</t>
        </is>
      </c>
      <c r="E118" s="5" t="inlineStr">
        <is>
          <t>Distrito Norte</t>
        </is>
      </c>
      <c r="F118" s="5" t="inlineStr">
        <is>
          <t>EMEF Vila Rural Sul</t>
        </is>
      </c>
      <c r="G118" s="5" t="inlineStr">
        <is>
          <t>T</t>
        </is>
      </c>
      <c r="H118" s="5" t="inlineStr"/>
      <c r="I118" s="5" t="inlineStr"/>
      <c r="J118" s="5" t="n">
        <v>-21.083615</v>
      </c>
      <c r="K118" s="5" t="n">
        <v>-47.799884</v>
      </c>
      <c r="L118" s="5" t="inlineStr"/>
    </row>
    <row r="119">
      <c r="A119" s="4" t="inlineStr">
        <is>
          <t>2026112</t>
        </is>
      </c>
      <c r="B119" s="4" t="inlineStr">
        <is>
          <t>Vinícius Almeida</t>
        </is>
      </c>
      <c r="C119" s="4" t="inlineStr">
        <is>
          <t>Sítio Boa Vista</t>
        </is>
      </c>
      <c r="D119" s="4" t="inlineStr">
        <is>
          <t>692</t>
        </is>
      </c>
      <c r="E119" s="4" t="inlineStr">
        <is>
          <t>Distrito Leste</t>
        </is>
      </c>
      <c r="F119" s="4" t="inlineStr">
        <is>
          <t>EMEF Centro</t>
        </is>
      </c>
      <c r="G119" s="4" t="inlineStr">
        <is>
          <t>T</t>
        </is>
      </c>
      <c r="H119" s="4" t="inlineStr">
        <is>
          <t>-</t>
        </is>
      </c>
      <c r="I119" s="4" t="inlineStr"/>
      <c r="J119" s="4" t="n">
        <v>-21.145147</v>
      </c>
      <c r="K119" s="4" t="n">
        <v>-47.7226</v>
      </c>
      <c r="L119" s="4" t="inlineStr">
        <is>
          <t>descer no ponto do vizinho</t>
        </is>
      </c>
    </row>
    <row r="120">
      <c r="A120" s="5" t="inlineStr">
        <is>
          <t>2026113</t>
        </is>
      </c>
      <c r="B120" s="5" t="inlineStr">
        <is>
          <t>Sônia Almeida</t>
        </is>
      </c>
      <c r="C120" s="5" t="inlineStr">
        <is>
          <t>Sítio Boa Vista</t>
        </is>
      </c>
      <c r="D120" s="5" t="inlineStr">
        <is>
          <t>754</t>
        </is>
      </c>
      <c r="E120" s="5" t="inlineStr">
        <is>
          <t>Vila Rural Sul</t>
        </is>
      </c>
      <c r="F120" s="5" t="inlineStr">
        <is>
          <t>EMEF Distrito Norte</t>
        </is>
      </c>
      <c r="G120" s="5" t="inlineStr">
        <is>
          <t>Tarde</t>
        </is>
      </c>
      <c r="H120" s="5" t="inlineStr"/>
      <c r="I120" s="5" t="inlineStr">
        <is>
          <t>sim</t>
        </is>
      </c>
      <c r="J120" s="5" t="n">
        <v>-21.225772</v>
      </c>
      <c r="K120" s="5" t="n">
        <v>-47.815192</v>
      </c>
      <c r="L120" s="5" t="inlineStr">
        <is>
          <t>mora depois da ponte</t>
        </is>
      </c>
    </row>
    <row r="121">
      <c r="A121" s="4" t="inlineStr">
        <is>
          <t>2026114</t>
        </is>
      </c>
      <c r="B121" s="4" t="inlineStr">
        <is>
          <t>Olívia Silva</t>
        </is>
      </c>
      <c r="C121" s="4" t="inlineStr">
        <is>
          <t>Linha 3 do Assentamento</t>
        </is>
      </c>
      <c r="D121" s="4" t="inlineStr">
        <is>
          <t>813</t>
        </is>
      </c>
      <c r="E121" s="4" t="inlineStr">
        <is>
          <t>Assent. Oeste</t>
        </is>
      </c>
      <c r="F121" s="4" t="inlineStr">
        <is>
          <t>EMEF Centro</t>
        </is>
      </c>
      <c r="G121" s="4" t="inlineStr">
        <is>
          <t>MAT</t>
        </is>
      </c>
      <c r="H121" s="4" t="inlineStr"/>
      <c r="I121" s="4" t="inlineStr"/>
      <c r="J121" s="4" t="n">
        <v>-21.140906</v>
      </c>
      <c r="K121" s="4" t="n">
        <v>-47.901483</v>
      </c>
      <c r="L121" s="4" t="inlineStr">
        <is>
          <t>mora depois da ponte</t>
        </is>
      </c>
    </row>
    <row r="122">
      <c r="A122" s="5" t="inlineStr">
        <is>
          <t>2026115</t>
        </is>
      </c>
      <c r="B122" s="5" t="inlineStr">
        <is>
          <t>JOÃO MARTINS</t>
        </is>
      </c>
      <c r="C122" s="5" t="inlineStr">
        <is>
          <t>Estrada Municipal RM-040</t>
        </is>
      </c>
      <c r="D122" s="5" t="inlineStr">
        <is>
          <t>s/n</t>
        </is>
      </c>
      <c r="E122" s="5" t="inlineStr">
        <is>
          <t>Sede Urbana</t>
        </is>
      </c>
      <c r="F122" s="5" t="inlineStr">
        <is>
          <t>EMEF Centro</t>
        </is>
      </c>
      <c r="G122" s="5" t="inlineStr">
        <is>
          <t>M</t>
        </is>
      </c>
      <c r="H122" s="5" t="inlineStr"/>
      <c r="I122" s="5" t="inlineStr">
        <is>
          <t>sim</t>
        </is>
      </c>
      <c r="J122" s="5" t="inlineStr"/>
      <c r="K122" s="5" t="inlineStr"/>
      <c r="L122" s="5" t="inlineStr"/>
    </row>
    <row r="123">
      <c r="A123" s="4" t="inlineStr">
        <is>
          <t>2026116</t>
        </is>
      </c>
      <c r="B123" s="4" t="inlineStr">
        <is>
          <t>Bruno Barbosa</t>
        </is>
      </c>
      <c r="C123" s="4" t="inlineStr">
        <is>
          <t>Rua do Córrego</t>
        </is>
      </c>
      <c r="D123" s="4" t="inlineStr">
        <is>
          <t>106</t>
        </is>
      </c>
      <c r="E123" s="4" t="inlineStr">
        <is>
          <t>Distrito Norte</t>
        </is>
      </c>
      <c r="F123" s="4" t="inlineStr">
        <is>
          <t>EMEF Vila Rural Sul</t>
        </is>
      </c>
      <c r="G123" s="4" t="inlineStr">
        <is>
          <t>Manhã</t>
        </is>
      </c>
      <c r="H123" s="4" t="inlineStr"/>
      <c r="I123" s="4" t="inlineStr"/>
      <c r="J123" s="4" t="n">
        <v>-21.067834</v>
      </c>
      <c r="K123" s="4" t="n">
        <v>-47.762871</v>
      </c>
      <c r="L123" s="4" t="inlineStr">
        <is>
          <t>mora depois da ponte</t>
        </is>
      </c>
    </row>
    <row r="124">
      <c r="A124" s="5" t="inlineStr">
        <is>
          <t>2026117</t>
        </is>
      </c>
      <c r="B124" s="5" t="inlineStr">
        <is>
          <t>Heitor Souza</t>
        </is>
      </c>
      <c r="C124" s="5" t="inlineStr">
        <is>
          <t>Estrada do Assentamento</t>
        </is>
      </c>
      <c r="D124" s="5" t="inlineStr">
        <is>
          <t>604</t>
        </is>
      </c>
      <c r="E124" s="5" t="inlineStr">
        <is>
          <t>Distrito Leste</t>
        </is>
      </c>
      <c r="F124" s="5" t="inlineStr">
        <is>
          <t>EMEF Vila Rural Sul</t>
        </is>
      </c>
      <c r="G124" s="5" t="inlineStr">
        <is>
          <t>Vespertino</t>
        </is>
      </c>
      <c r="H124" s="5" t="inlineStr"/>
      <c r="I124" s="5" t="inlineStr"/>
      <c r="J124" s="5" t="n">
        <v>-21.169457</v>
      </c>
      <c r="K124" s="5" t="n">
        <v>-47.746867</v>
      </c>
      <c r="L124" s="5" t="inlineStr">
        <is>
          <t>família mudou de endereço</t>
        </is>
      </c>
    </row>
    <row r="125">
      <c r="A125" s="4" t="inlineStr">
        <is>
          <t>2026118</t>
        </is>
      </c>
      <c r="B125" s="4" t="inlineStr">
        <is>
          <t>Yasmin Silva</t>
        </is>
      </c>
      <c r="C125" s="4" t="inlineStr">
        <is>
          <t>Estrada Municipal RM-040</t>
        </is>
      </c>
      <c r="D125" s="4" t="inlineStr">
        <is>
          <t>s/n</t>
        </is>
      </c>
      <c r="E125" s="4" t="inlineStr">
        <is>
          <t>Vila Rural Sul</t>
        </is>
      </c>
      <c r="F125" s="4" t="inlineStr">
        <is>
          <t>EMEF Distrito Norte</t>
        </is>
      </c>
      <c r="G125" s="4" t="inlineStr">
        <is>
          <t>T</t>
        </is>
      </c>
      <c r="H125" s="4" t="inlineStr"/>
      <c r="I125" s="4" t="inlineStr"/>
      <c r="J125" s="4" t="inlineStr"/>
      <c r="K125" s="4" t="inlineStr"/>
      <c r="L125" s="4" t="inlineStr">
        <is>
          <t>descer no ponto do vizinho</t>
        </is>
      </c>
    </row>
    <row r="126">
      <c r="A126" s="5" t="inlineStr">
        <is>
          <t>2026119</t>
        </is>
      </c>
      <c r="B126" s="5" t="inlineStr">
        <is>
          <t>Gabriela Silva</t>
        </is>
      </c>
      <c r="C126" s="5" t="inlineStr">
        <is>
          <t>Linha 3 do Assentamento</t>
        </is>
      </c>
      <c r="D126" s="5" t="inlineStr">
        <is>
          <t>169</t>
        </is>
      </c>
      <c r="E126" s="5" t="inlineStr">
        <is>
          <t>Assent. Oeste</t>
        </is>
      </c>
      <c r="F126" s="5" t="inlineStr">
        <is>
          <t>EMEF Vila Rural Sul</t>
        </is>
      </c>
      <c r="G126" s="5" t="inlineStr">
        <is>
          <t>Vespertino</t>
        </is>
      </c>
      <c r="H126" s="5" t="inlineStr"/>
      <c r="I126" s="5" t="inlineStr">
        <is>
          <t>sim</t>
        </is>
      </c>
      <c r="J126" s="5" t="n">
        <v>-21.198035</v>
      </c>
      <c r="K126" s="5" t="n">
        <v>-47.873834</v>
      </c>
      <c r="L126" s="5" t="inlineStr">
        <is>
          <t>mora depois da ponte</t>
        </is>
      </c>
    </row>
    <row r="127">
      <c r="A127" s="4" t="inlineStr">
        <is>
          <t>2026120</t>
        </is>
      </c>
      <c r="B127" s="4" t="inlineStr">
        <is>
          <t>Paulo Nascimento</t>
        </is>
      </c>
      <c r="C127" s="4" t="inlineStr">
        <is>
          <t>Estrada do Assentamento</t>
        </is>
      </c>
      <c r="D127" s="4" t="inlineStr">
        <is>
          <t>816</t>
        </is>
      </c>
      <c r="E127" s="4" t="inlineStr">
        <is>
          <t>Sede Urbana</t>
        </is>
      </c>
      <c r="F127" s="4" t="inlineStr">
        <is>
          <t>EMEF Centro</t>
        </is>
      </c>
      <c r="G127" s="4" t="inlineStr">
        <is>
          <t>Vespertino</t>
        </is>
      </c>
      <c r="H127" s="4" t="inlineStr"/>
      <c r="I127" s="4" t="inlineStr"/>
      <c r="J127" s="4" t="n">
        <v>-21.162711</v>
      </c>
      <c r="K127" s="4" t="n">
        <v>-47.81797</v>
      </c>
      <c r="L127" s="4" t="inlineStr">
        <is>
          <t>descer no ponto do vizinho</t>
        </is>
      </c>
    </row>
    <row r="128">
      <c r="A128" s="5" t="inlineStr">
        <is>
          <t>2026121</t>
        </is>
      </c>
      <c r="B128" s="5" t="inlineStr">
        <is>
          <t>Queila Ferreira</t>
        </is>
      </c>
      <c r="C128" s="5" t="inlineStr">
        <is>
          <t>Estrada Municipal RM-040</t>
        </is>
      </c>
      <c r="D128" s="5" t="inlineStr">
        <is>
          <t>32</t>
        </is>
      </c>
      <c r="E128" s="5" t="inlineStr">
        <is>
          <t>Distrito Norte</t>
        </is>
      </c>
      <c r="F128" s="5" t="inlineStr">
        <is>
          <t>EMEF Centro</t>
        </is>
      </c>
      <c r="G128" s="5" t="inlineStr">
        <is>
          <t>M</t>
        </is>
      </c>
      <c r="H128" s="5" t="inlineStr"/>
      <c r="I128" s="5" t="inlineStr">
        <is>
          <t>sim</t>
        </is>
      </c>
      <c r="J128" s="5" t="n">
        <v>-21.100718</v>
      </c>
      <c r="K128" s="5" t="n">
        <v>-47.754222</v>
      </c>
      <c r="L128" s="5" t="inlineStr">
        <is>
          <t>mora depois da ponte</t>
        </is>
      </c>
    </row>
    <row r="129">
      <c r="A129" s="4" t="inlineStr">
        <is>
          <t>2026122</t>
        </is>
      </c>
      <c r="B129" s="4" t="inlineStr">
        <is>
          <t>Carla Martins</t>
        </is>
      </c>
      <c r="C129" s="4" t="inlineStr">
        <is>
          <t>Travessa São José</t>
        </is>
      </c>
      <c r="D129" s="4" t="inlineStr">
        <is>
          <t>s/n</t>
        </is>
      </c>
      <c r="E129" s="4" t="inlineStr">
        <is>
          <t>Distrito Leste</t>
        </is>
      </c>
      <c r="F129" s="4" t="inlineStr">
        <is>
          <t>EMEF Vila Rural Sul</t>
        </is>
      </c>
      <c r="G129" s="4" t="inlineStr">
        <is>
          <t>MAT</t>
        </is>
      </c>
      <c r="H129" s="4" t="inlineStr"/>
      <c r="I129" s="4" t="inlineStr"/>
      <c r="J129" s="4" t="inlineStr"/>
      <c r="K129" s="4" t="inlineStr"/>
      <c r="L129" s="4" t="inlineStr">
        <is>
          <t>estrada ruim em dia de chuva</t>
        </is>
      </c>
    </row>
    <row r="130">
      <c r="A130" s="5" t="inlineStr">
        <is>
          <t>2026123</t>
        </is>
      </c>
      <c r="B130" s="5" t="inlineStr">
        <is>
          <t>Ivone Souza</t>
        </is>
      </c>
      <c r="C130" s="5" t="inlineStr">
        <is>
          <t>Estrada do Assentamento</t>
        </is>
      </c>
      <c r="D130" s="5" t="inlineStr">
        <is>
          <t>707</t>
        </is>
      </c>
      <c r="E130" s="5" t="inlineStr">
        <is>
          <t>Vila Rural Sul</t>
        </is>
      </c>
      <c r="F130" s="5" t="inlineStr">
        <is>
          <t>EMEF Centro</t>
        </is>
      </c>
      <c r="G130" s="5" t="inlineStr">
        <is>
          <t xml:space="preserve">tarde </t>
        </is>
      </c>
      <c r="H130" s="5" t="inlineStr"/>
      <c r="I130" s="5" t="inlineStr"/>
      <c r="J130" s="5" t="n">
        <v>-21.210268</v>
      </c>
      <c r="K130" s="5" t="n">
        <v>-47.810366</v>
      </c>
      <c r="L130" s="5" t="inlineStr"/>
    </row>
    <row r="131">
      <c r="A131" s="4" t="inlineStr">
        <is>
          <t>2026124</t>
        </is>
      </c>
      <c r="B131" s="4" t="inlineStr">
        <is>
          <t xml:space="preserve">  Fábio Oliveira </t>
        </is>
      </c>
      <c r="C131" s="4" t="inlineStr">
        <is>
          <t>Estrada Municipal RM-040</t>
        </is>
      </c>
      <c r="D131" s="4" t="inlineStr">
        <is>
          <t>603</t>
        </is>
      </c>
      <c r="E131" s="4" t="inlineStr">
        <is>
          <t>Assent. Oeste</t>
        </is>
      </c>
      <c r="F131" s="4" t="inlineStr">
        <is>
          <t>EMEF Vila Rural Sul</t>
        </is>
      </c>
      <c r="G131" s="4" t="inlineStr">
        <is>
          <t xml:space="preserve">tarde </t>
        </is>
      </c>
      <c r="H131" s="4" t="inlineStr"/>
      <c r="I131" s="4" t="inlineStr"/>
      <c r="J131" s="4" t="n">
        <v>-21.189837</v>
      </c>
      <c r="K131" s="4" t="n">
        <v>-47.915425</v>
      </c>
      <c r="L131" s="4" t="inlineStr"/>
    </row>
    <row r="132">
      <c r="A132" s="5" t="inlineStr">
        <is>
          <t>2026125</t>
        </is>
      </c>
      <c r="B132" s="5" t="inlineStr">
        <is>
          <t>Lucas Nascimento</t>
        </is>
      </c>
      <c r="C132" s="5" t="inlineStr">
        <is>
          <t>Estrada Municipal RM-040</t>
        </is>
      </c>
      <c r="D132" s="5" t="inlineStr">
        <is>
          <t>818</t>
        </is>
      </c>
      <c r="E132" s="5" t="inlineStr">
        <is>
          <t>Sede Urbana</t>
        </is>
      </c>
      <c r="F132" s="5" t="inlineStr">
        <is>
          <t>EMEF Vila Rural Sul</t>
        </is>
      </c>
      <c r="G132" s="5" t="inlineStr">
        <is>
          <t>Manhã</t>
        </is>
      </c>
      <c r="H132" s="5" t="inlineStr">
        <is>
          <t>SIM</t>
        </is>
      </c>
      <c r="I132" s="5" t="inlineStr"/>
      <c r="J132" s="5" t="n">
        <v>-21.14497</v>
      </c>
      <c r="K132" s="5" t="n">
        <v>-47.813129</v>
      </c>
      <c r="L132" s="5" t="inlineStr"/>
    </row>
    <row r="133">
      <c r="A133" s="4" t="inlineStr">
        <is>
          <t>2026126</t>
        </is>
      </c>
      <c r="B133" s="4" t="inlineStr">
        <is>
          <t>Yasmin Costa</t>
        </is>
      </c>
      <c r="C133" s="4" t="inlineStr">
        <is>
          <t>Av. Central</t>
        </is>
      </c>
      <c r="D133" s="4" t="inlineStr">
        <is>
          <t>275</t>
        </is>
      </c>
      <c r="E133" s="4" t="inlineStr">
        <is>
          <t>Distrito Norte</t>
        </is>
      </c>
      <c r="F133" s="4" t="inlineStr">
        <is>
          <t>EMEF Distrito Norte</t>
        </is>
      </c>
      <c r="G133" s="4" t="inlineStr">
        <is>
          <t>Vespertino</t>
        </is>
      </c>
      <c r="H133" s="4" t="inlineStr">
        <is>
          <t>não</t>
        </is>
      </c>
      <c r="I133" s="4" t="inlineStr"/>
      <c r="J133" s="4" t="n">
        <v>-21.06469</v>
      </c>
      <c r="K133" s="4" t="n">
        <v>-47.744971</v>
      </c>
      <c r="L133" s="4" t="inlineStr"/>
    </row>
    <row r="134">
      <c r="A134" s="5" t="inlineStr">
        <is>
          <t>2026127</t>
        </is>
      </c>
      <c r="B134" s="5" t="inlineStr">
        <is>
          <t>Gabriela Costa</t>
        </is>
      </c>
      <c r="C134" s="5" t="inlineStr">
        <is>
          <t>Estrada do Assentamento</t>
        </is>
      </c>
      <c r="D134" s="5" t="inlineStr">
        <is>
          <t>491</t>
        </is>
      </c>
      <c r="E134" s="5" t="inlineStr">
        <is>
          <t>Distrito Leste</t>
        </is>
      </c>
      <c r="F134" s="5" t="inlineStr">
        <is>
          <t>EMEF Distrito Norte</t>
        </is>
      </c>
      <c r="G134" s="5" t="inlineStr">
        <is>
          <t>Tarde</t>
        </is>
      </c>
      <c r="H134" s="5" t="inlineStr"/>
      <c r="I134" s="5" t="inlineStr"/>
      <c r="J134" s="5" t="n">
        <v>-21.108201</v>
      </c>
      <c r="K134" s="5" t="n">
        <v>-47.698097</v>
      </c>
      <c r="L134" s="5" t="inlineStr"/>
    </row>
    <row r="135">
      <c r="A135" s="4" t="inlineStr">
        <is>
          <t>2026128</t>
        </is>
      </c>
      <c r="B135" s="4" t="inlineStr">
        <is>
          <t>Carla Costa</t>
        </is>
      </c>
      <c r="C135" s="4" t="inlineStr">
        <is>
          <t>Estrada do Assentamento</t>
        </is>
      </c>
      <c r="D135" s="4" t="inlineStr">
        <is>
          <t>s/n</t>
        </is>
      </c>
      <c r="E135" s="4" t="inlineStr">
        <is>
          <t>Vila Rural Sul</t>
        </is>
      </c>
      <c r="F135" s="4" t="inlineStr">
        <is>
          <t>EMEF Centro</t>
        </is>
      </c>
      <c r="G135" s="4" t="inlineStr">
        <is>
          <t>M</t>
        </is>
      </c>
      <c r="H135" s="4" t="inlineStr">
        <is>
          <t>NÃO</t>
        </is>
      </c>
      <c r="I135" s="4" t="inlineStr">
        <is>
          <t>sim</t>
        </is>
      </c>
      <c r="J135" s="4" t="inlineStr"/>
      <c r="K135" s="4" t="inlineStr"/>
      <c r="L135" s="4" t="inlineStr">
        <is>
          <t>estrada ruim em dia de chuva</t>
        </is>
      </c>
    </row>
    <row r="136">
      <c r="A136" s="5" t="inlineStr">
        <is>
          <t>2026129</t>
        </is>
      </c>
      <c r="B136" s="5" t="inlineStr">
        <is>
          <t>Gabriela Silva</t>
        </is>
      </c>
      <c r="C136" s="5" t="inlineStr">
        <is>
          <t>Linha 3 do Assentamento</t>
        </is>
      </c>
      <c r="D136" s="5" t="inlineStr">
        <is>
          <t>859</t>
        </is>
      </c>
      <c r="E136" s="5" t="inlineStr">
        <is>
          <t>Assent. Oeste</t>
        </is>
      </c>
      <c r="F136" s="5" t="inlineStr">
        <is>
          <t>EMEF Distrito Norte</t>
        </is>
      </c>
      <c r="G136" s="5" t="inlineStr">
        <is>
          <t>T</t>
        </is>
      </c>
      <c r="H136" s="5" t="inlineStr"/>
      <c r="I136" s="5" t="inlineStr"/>
      <c r="J136" s="5" t="n">
        <v>-21.184528</v>
      </c>
      <c r="K136" s="5" t="n">
        <v>-47.904758</v>
      </c>
      <c r="L136" s="5" t="inlineStr"/>
    </row>
    <row r="137">
      <c r="A137" s="4" t="inlineStr">
        <is>
          <t>2026130</t>
        </is>
      </c>
      <c r="B137" s="4" t="inlineStr">
        <is>
          <t>Lucas Martins</t>
        </is>
      </c>
      <c r="C137" s="4" t="inlineStr">
        <is>
          <t>Rua do Córrego</t>
        </is>
      </c>
      <c r="D137" s="4" t="inlineStr">
        <is>
          <t>707</t>
        </is>
      </c>
      <c r="E137" s="4" t="inlineStr">
        <is>
          <t>Sede Urbana</t>
        </is>
      </c>
      <c r="F137" s="4" t="inlineStr">
        <is>
          <t>EMEF Distrito Norte</t>
        </is>
      </c>
      <c r="G137" s="4" t="inlineStr">
        <is>
          <t>Manhã</t>
        </is>
      </c>
      <c r="H137" s="4" t="inlineStr"/>
      <c r="I137" s="4" t="inlineStr"/>
      <c r="J137" s="4" t="n">
        <v>-21.142184</v>
      </c>
      <c r="K137" s="4" t="n">
        <v>-47.784286</v>
      </c>
      <c r="L137" s="4" t="inlineStr">
        <is>
          <t>estrada ruim em dia de chuva</t>
        </is>
      </c>
    </row>
    <row r="138">
      <c r="A138" s="5" t="inlineStr">
        <is>
          <t>2026131</t>
        </is>
      </c>
      <c r="B138" s="5" t="inlineStr">
        <is>
          <t>Gabriela Araújo</t>
        </is>
      </c>
      <c r="C138" s="5" t="inlineStr">
        <is>
          <t>Linha 3 do Assentamento</t>
        </is>
      </c>
      <c r="D138" s="5" t="inlineStr">
        <is>
          <t>s/n</t>
        </is>
      </c>
      <c r="E138" s="5" t="inlineStr">
        <is>
          <t>Distrito Norte</t>
        </is>
      </c>
      <c r="F138" s="5" t="inlineStr">
        <is>
          <t>EMEF Vila Rural Sul</t>
        </is>
      </c>
      <c r="G138" s="5" t="inlineStr">
        <is>
          <t>T</t>
        </is>
      </c>
      <c r="H138" s="5" t="inlineStr"/>
      <c r="I138" s="5" t="inlineStr"/>
      <c r="J138" s="5" t="inlineStr"/>
      <c r="K138" s="5" t="inlineStr"/>
      <c r="L138" s="5" t="inlineStr"/>
    </row>
    <row r="139">
      <c r="A139" s="4" t="inlineStr">
        <is>
          <t>2026132</t>
        </is>
      </c>
      <c r="B139" s="4" t="inlineStr">
        <is>
          <t>Úrsula Gomes</t>
        </is>
      </c>
      <c r="C139" s="4" t="inlineStr">
        <is>
          <t>Rua das Acácias</t>
        </is>
      </c>
      <c r="D139" s="4" t="inlineStr">
        <is>
          <t>s/n</t>
        </is>
      </c>
      <c r="E139" s="4" t="inlineStr">
        <is>
          <t>Distrito Leste</t>
        </is>
      </c>
      <c r="F139" s="4" t="inlineStr">
        <is>
          <t>EMEF Distrito Norte</t>
        </is>
      </c>
      <c r="G139" s="4" t="inlineStr">
        <is>
          <t xml:space="preserve">tarde </t>
        </is>
      </c>
      <c r="H139" s="4" t="inlineStr">
        <is>
          <t>NÃO</t>
        </is>
      </c>
      <c r="I139" s="4" t="inlineStr">
        <is>
          <t>sim</t>
        </is>
      </c>
      <c r="J139" s="4" t="inlineStr"/>
      <c r="K139" s="4" t="inlineStr"/>
      <c r="L139" s="4" t="inlineStr"/>
    </row>
    <row r="140">
      <c r="A140" s="5" t="inlineStr">
        <is>
          <t>2026133</t>
        </is>
      </c>
      <c r="B140" s="5" t="inlineStr">
        <is>
          <t>Paulo Oliveira</t>
        </is>
      </c>
      <c r="C140" s="5" t="inlineStr">
        <is>
          <t>Rua do Córrego</t>
        </is>
      </c>
      <c r="D140" s="5" t="inlineStr">
        <is>
          <t>s/n</t>
        </is>
      </c>
      <c r="E140" s="5" t="inlineStr">
        <is>
          <t>Vila Rural Sul</t>
        </is>
      </c>
      <c r="F140" s="5" t="inlineStr">
        <is>
          <t>EMEF Distrito Norte</t>
        </is>
      </c>
      <c r="G140" s="5" t="inlineStr">
        <is>
          <t>MAT</t>
        </is>
      </c>
      <c r="H140" s="5" t="inlineStr"/>
      <c r="I140" s="5" t="inlineStr"/>
      <c r="J140" s="5" t="inlineStr"/>
      <c r="K140" s="5" t="inlineStr"/>
      <c r="L140" s="5" t="inlineStr">
        <is>
          <t>estrada ruim em dia de chuva</t>
        </is>
      </c>
    </row>
    <row r="141">
      <c r="A141" s="4" t="inlineStr">
        <is>
          <t>2026134</t>
        </is>
      </c>
      <c r="B141" s="4" t="inlineStr">
        <is>
          <t>Diego Costa</t>
        </is>
      </c>
      <c r="C141" s="4" t="inlineStr">
        <is>
          <t>Estrada Municipal RM-040</t>
        </is>
      </c>
      <c r="D141" s="4" t="inlineStr">
        <is>
          <t>219</t>
        </is>
      </c>
      <c r="E141" s="4" t="inlineStr">
        <is>
          <t>Assent. Oeste</t>
        </is>
      </c>
      <c r="F141" s="4" t="inlineStr">
        <is>
          <t>EMEF Distrito Norte</t>
        </is>
      </c>
      <c r="G141" s="4" t="inlineStr">
        <is>
          <t>Manhã</t>
        </is>
      </c>
      <c r="H141" s="4" t="inlineStr"/>
      <c r="I141" s="4" t="inlineStr"/>
      <c r="J141" s="4" t="n">
        <v>-21.176186</v>
      </c>
      <c r="K141" s="4" t="n">
        <v>-47.873372</v>
      </c>
      <c r="L141" s="4" t="inlineStr">
        <is>
          <t>família mudou de endereço</t>
        </is>
      </c>
    </row>
    <row r="142">
      <c r="A142" s="5" t="inlineStr">
        <is>
          <t>2026135</t>
        </is>
      </c>
      <c r="B142" s="5" t="inlineStr">
        <is>
          <t>Paulo Almeida</t>
        </is>
      </c>
      <c r="C142" s="5" t="inlineStr">
        <is>
          <t>Av. Central</t>
        </is>
      </c>
      <c r="D142" s="5" t="inlineStr">
        <is>
          <t>835</t>
        </is>
      </c>
      <c r="E142" s="5" t="inlineStr">
        <is>
          <t>Sede Urbana</t>
        </is>
      </c>
      <c r="F142" s="5" t="inlineStr">
        <is>
          <t>EMEF Centro</t>
        </is>
      </c>
      <c r="G142" s="5" t="inlineStr">
        <is>
          <t>Tarde</t>
        </is>
      </c>
      <c r="H142" s="5" t="inlineStr"/>
      <c r="I142" s="5" t="inlineStr"/>
      <c r="J142" s="5" t="n">
        <v>-21.135521</v>
      </c>
      <c r="K142" s="5" t="n">
        <v>-47.783962</v>
      </c>
      <c r="L142" s="5" t="inlineStr">
        <is>
          <t>porteira fechada, buzinar</t>
        </is>
      </c>
    </row>
    <row r="143">
      <c r="A143" s="4" t="inlineStr">
        <is>
          <t>2026136</t>
        </is>
      </c>
      <c r="B143" s="4" t="inlineStr">
        <is>
          <t>Nelson Martins</t>
        </is>
      </c>
      <c r="C143" s="4" t="inlineStr">
        <is>
          <t>Sítio Boa Vista</t>
        </is>
      </c>
      <c r="D143" s="4" t="inlineStr">
        <is>
          <t>870</t>
        </is>
      </c>
      <c r="E143" s="4" t="inlineStr">
        <is>
          <t>Distrito Norte</t>
        </is>
      </c>
      <c r="F143" s="4" t="inlineStr">
        <is>
          <t>EMEF Distrito Norte</t>
        </is>
      </c>
      <c r="G143" s="4" t="inlineStr">
        <is>
          <t>M</t>
        </is>
      </c>
      <c r="H143" s="4" t="inlineStr"/>
      <c r="I143" s="4" t="inlineStr"/>
      <c r="J143" s="4" t="n">
        <v>-21.094049</v>
      </c>
      <c r="K143" s="4" t="n">
        <v>-47.794635</v>
      </c>
      <c r="L143" s="4" t="inlineStr">
        <is>
          <t>descer no ponto do vizinho</t>
        </is>
      </c>
    </row>
    <row r="144">
      <c r="A144" s="5" t="inlineStr">
        <is>
          <t>2026137</t>
        </is>
      </c>
      <c r="B144" s="5" t="inlineStr">
        <is>
          <t>Ivone Ribeiro</t>
        </is>
      </c>
      <c r="C144" s="5" t="inlineStr">
        <is>
          <t>Travessa São José</t>
        </is>
      </c>
      <c r="D144" s="5" t="inlineStr">
        <is>
          <t>564</t>
        </is>
      </c>
      <c r="E144" s="5" t="inlineStr">
        <is>
          <t>Distrito Leste</t>
        </is>
      </c>
      <c r="F144" s="5" t="inlineStr">
        <is>
          <t>EMEF Centro</t>
        </is>
      </c>
      <c r="G144" s="5" t="inlineStr">
        <is>
          <t>M</t>
        </is>
      </c>
      <c r="H144" s="5" t="inlineStr"/>
      <c r="I144" s="5" t="inlineStr"/>
      <c r="J144" s="5" t="n">
        <v>-21.125435</v>
      </c>
      <c r="K144" s="5" t="n">
        <v>-47.704255</v>
      </c>
      <c r="L144" s="5" t="inlineStr">
        <is>
          <t>descer no ponto do vizinho</t>
        </is>
      </c>
    </row>
    <row r="145">
      <c r="A145" s="4" t="inlineStr">
        <is>
          <t>2026138</t>
        </is>
      </c>
      <c r="B145" s="4" t="inlineStr">
        <is>
          <t>FÁBIO PEREIRA</t>
        </is>
      </c>
      <c r="C145" s="4" t="inlineStr">
        <is>
          <t>Sítio Boa Vista</t>
        </is>
      </c>
      <c r="D145" s="4" t="inlineStr">
        <is>
          <t>478</t>
        </is>
      </c>
      <c r="E145" s="4" t="inlineStr">
        <is>
          <t>Vila Rural Sul</t>
        </is>
      </c>
      <c r="F145" s="4" t="inlineStr">
        <is>
          <t>EMEF Distrito Norte</t>
        </is>
      </c>
      <c r="G145" s="4" t="inlineStr">
        <is>
          <t>Manhã</t>
        </is>
      </c>
      <c r="H145" s="4" t="inlineStr">
        <is>
          <t>NÃO</t>
        </is>
      </c>
      <c r="I145" s="4" t="inlineStr"/>
      <c r="J145" s="4" t="n">
        <v>-21.235862</v>
      </c>
      <c r="K145" s="4" t="n">
        <v>-47.849533</v>
      </c>
      <c r="L145" s="4" t="inlineStr">
        <is>
          <t>porteira fechada, buzinar</t>
        </is>
      </c>
    </row>
    <row r="146">
      <c r="A146" s="5" t="inlineStr">
        <is>
          <t>2026139</t>
        </is>
      </c>
      <c r="B146" s="5" t="inlineStr">
        <is>
          <t>Wesley Souza</t>
        </is>
      </c>
      <c r="C146" s="5" t="inlineStr">
        <is>
          <t>Rua do Córrego</t>
        </is>
      </c>
      <c r="D146" s="5" t="inlineStr">
        <is>
          <t>345</t>
        </is>
      </c>
      <c r="E146" s="5" t="inlineStr">
        <is>
          <t>Assent. Oeste</t>
        </is>
      </c>
      <c r="F146" s="5" t="inlineStr">
        <is>
          <t>EMEF Vila Rural Sul</t>
        </is>
      </c>
      <c r="G146" s="5" t="inlineStr">
        <is>
          <t>MAT</t>
        </is>
      </c>
      <c r="H146" s="5" t="inlineStr"/>
      <c r="I146" s="5" t="inlineStr"/>
      <c r="J146" s="5" t="n">
        <v>-21.187929</v>
      </c>
      <c r="K146" s="5" t="n">
        <v>-47.853847</v>
      </c>
      <c r="L146" s="5" t="inlineStr">
        <is>
          <t>família mudou de endereço</t>
        </is>
      </c>
    </row>
    <row r="147">
      <c r="A147" s="4" t="inlineStr">
        <is>
          <t>2026140</t>
        </is>
      </c>
      <c r="B147" s="4" t="inlineStr">
        <is>
          <t>Nelson Barbosa</t>
        </is>
      </c>
      <c r="C147" s="4" t="inlineStr">
        <is>
          <t>Estrada Municipal RM-040</t>
        </is>
      </c>
      <c r="D147" s="4" t="inlineStr">
        <is>
          <t>123</t>
        </is>
      </c>
      <c r="E147" s="4" t="inlineStr">
        <is>
          <t>Sede Urbana</t>
        </is>
      </c>
      <c r="F147" s="4" t="inlineStr">
        <is>
          <t>EMEF Vila Rural Sul</t>
        </is>
      </c>
      <c r="G147" s="4" t="inlineStr">
        <is>
          <t>Manhã</t>
        </is>
      </c>
      <c r="H147" s="4" t="inlineStr"/>
      <c r="I147" s="4" t="inlineStr"/>
      <c r="J147" s="4" t="n">
        <v>-21.164706</v>
      </c>
      <c r="K147" s="4" t="n">
        <v>-47.792836</v>
      </c>
      <c r="L147" s="4" t="inlineStr">
        <is>
          <t>estrada ruim em dia de chuva</t>
        </is>
      </c>
    </row>
    <row r="148">
      <c r="A148" s="5" t="inlineStr">
        <is>
          <t>2026141</t>
        </is>
      </c>
      <c r="B148" s="5" t="inlineStr">
        <is>
          <t>Sônia Almeida</t>
        </is>
      </c>
      <c r="C148" s="5" t="inlineStr">
        <is>
          <t>Estrada Municipal RM-040</t>
        </is>
      </c>
      <c r="D148" s="5" t="inlineStr">
        <is>
          <t>s/n</t>
        </is>
      </c>
      <c r="E148" s="5" t="inlineStr">
        <is>
          <t>Distrito Norte</t>
        </is>
      </c>
      <c r="F148" s="5" t="inlineStr">
        <is>
          <t>EMEF Vila Rural Sul</t>
        </is>
      </c>
      <c r="G148" s="5" t="inlineStr">
        <is>
          <t>Tarde</t>
        </is>
      </c>
      <c r="H148" s="5" t="inlineStr"/>
      <c r="I148" s="5" t="inlineStr"/>
      <c r="J148" s="5" t="inlineStr"/>
      <c r="K148" s="5" t="inlineStr"/>
      <c r="L148" s="5" t="inlineStr"/>
    </row>
    <row r="149">
      <c r="A149" s="4" t="inlineStr">
        <is>
          <t>2026142</t>
        </is>
      </c>
      <c r="B149" s="4" t="inlineStr">
        <is>
          <t>Sônia Costa</t>
        </is>
      </c>
      <c r="C149" s="4" t="inlineStr">
        <is>
          <t>Estrada Municipal RM-040</t>
        </is>
      </c>
      <c r="D149" s="4" t="inlineStr">
        <is>
          <t>s/n</t>
        </is>
      </c>
      <c r="E149" s="4" t="inlineStr">
        <is>
          <t>Distrito Leste</t>
        </is>
      </c>
      <c r="F149" s="4" t="inlineStr">
        <is>
          <t>EMEF Distrito Norte</t>
        </is>
      </c>
      <c r="G149" s="4" t="inlineStr">
        <is>
          <t>MAT</t>
        </is>
      </c>
      <c r="H149" s="4" t="inlineStr"/>
      <c r="I149" s="4" t="inlineStr"/>
      <c r="J149" s="4" t="inlineStr"/>
      <c r="K149" s="4" t="inlineStr"/>
      <c r="L149" s="4" t="inlineStr">
        <is>
          <t>porteira fechada, buzinar</t>
        </is>
      </c>
    </row>
    <row r="150">
      <c r="A150" s="5" t="inlineStr">
        <is>
          <t>2026143</t>
        </is>
      </c>
      <c r="B150" s="5" t="inlineStr">
        <is>
          <t>Marina Silva</t>
        </is>
      </c>
      <c r="C150" s="5" t="inlineStr">
        <is>
          <t>Sítio Boa Vista</t>
        </is>
      </c>
      <c r="D150" s="5" t="inlineStr">
        <is>
          <t>774</t>
        </is>
      </c>
      <c r="E150" s="5" t="inlineStr">
        <is>
          <t>Vila Rural Sul</t>
        </is>
      </c>
      <c r="F150" s="5" t="inlineStr">
        <is>
          <t>EMEF Vila Rural Sul</t>
        </is>
      </c>
      <c r="G150" s="5" t="inlineStr">
        <is>
          <t>Manhã</t>
        </is>
      </c>
      <c r="H150" s="5" t="inlineStr"/>
      <c r="I150" s="5" t="inlineStr">
        <is>
          <t>sim</t>
        </is>
      </c>
      <c r="J150" s="5" t="n">
        <v>-21.179798</v>
      </c>
      <c r="K150" s="5" t="n">
        <v>-47.826022</v>
      </c>
      <c r="L150" s="5" t="inlineStr"/>
    </row>
    <row r="151">
      <c r="A151" s="4" t="inlineStr">
        <is>
          <t>2026144</t>
        </is>
      </c>
      <c r="B151" s="4" t="inlineStr">
        <is>
          <t>Ana Barbosa</t>
        </is>
      </c>
      <c r="C151" s="4" t="inlineStr">
        <is>
          <t>Rua das Acácias</t>
        </is>
      </c>
      <c r="D151" s="4" t="inlineStr">
        <is>
          <t>502</t>
        </is>
      </c>
      <c r="E151" s="4" t="inlineStr">
        <is>
          <t>Assent. Oeste</t>
        </is>
      </c>
      <c r="F151" s="4" t="inlineStr">
        <is>
          <t>EMEF Centro</t>
        </is>
      </c>
      <c r="G151" s="4" t="inlineStr">
        <is>
          <t>Manhã</t>
        </is>
      </c>
      <c r="H151" s="4" t="inlineStr"/>
      <c r="I151" s="4" t="inlineStr"/>
      <c r="J151" s="4" t="n">
        <v>-21.184921</v>
      </c>
      <c r="K151" s="4" t="n">
        <v>-47.914515</v>
      </c>
      <c r="L151" s="4" t="inlineStr"/>
    </row>
    <row r="152">
      <c r="A152" s="5" t="inlineStr">
        <is>
          <t>2026145</t>
        </is>
      </c>
      <c r="B152" s="5" t="inlineStr">
        <is>
          <t>Gabriela Ribeiro</t>
        </is>
      </c>
      <c r="C152" s="5" t="inlineStr">
        <is>
          <t>Av. Central</t>
        </is>
      </c>
      <c r="D152" s="5" t="inlineStr">
        <is>
          <t>s/n</t>
        </is>
      </c>
      <c r="E152" s="5" t="inlineStr">
        <is>
          <t>Sede Urbana</t>
        </is>
      </c>
      <c r="F152" s="5" t="inlineStr">
        <is>
          <t>EMEF Distrito Norte</t>
        </is>
      </c>
      <c r="G152" s="5" t="inlineStr">
        <is>
          <t>M</t>
        </is>
      </c>
      <c r="H152" s="5" t="inlineStr">
        <is>
          <t>x</t>
        </is>
      </c>
      <c r="I152" s="5" t="inlineStr">
        <is>
          <t>sim</t>
        </is>
      </c>
      <c r="J152" s="5" t="inlineStr"/>
      <c r="K152" s="5" t="inlineStr"/>
      <c r="L152" s="5" t="inlineStr">
        <is>
          <t>descer no ponto do vizinho</t>
        </is>
      </c>
    </row>
    <row r="153">
      <c r="A153" s="4" t="inlineStr">
        <is>
          <t>2026146</t>
        </is>
      </c>
      <c r="B153" s="4" t="inlineStr">
        <is>
          <t>Bruno Pereira</t>
        </is>
      </c>
      <c r="C153" s="4" t="inlineStr">
        <is>
          <t>Rua do Córrego</t>
        </is>
      </c>
      <c r="D153" s="4" t="inlineStr">
        <is>
          <t>711</t>
        </is>
      </c>
      <c r="E153" s="4" t="inlineStr">
        <is>
          <t>Distrito Norte</t>
        </is>
      </c>
      <c r="F153" s="4" t="inlineStr">
        <is>
          <t>EMEF Vila Rural Sul</t>
        </is>
      </c>
      <c r="G153" s="4" t="inlineStr">
        <is>
          <t>MAT</t>
        </is>
      </c>
      <c r="H153" s="4" t="inlineStr">
        <is>
          <t>não</t>
        </is>
      </c>
      <c r="I153" s="4" t="inlineStr"/>
      <c r="J153" s="4" t="n">
        <v>-21.088485</v>
      </c>
      <c r="K153" s="4" t="n">
        <v>-47.769788</v>
      </c>
      <c r="L153" s="4" t="inlineStr">
        <is>
          <t>mora depois da ponte</t>
        </is>
      </c>
    </row>
    <row r="154">
      <c r="A154" s="5" t="inlineStr">
        <is>
          <t>2026147</t>
        </is>
      </c>
      <c r="B154" s="5" t="inlineStr">
        <is>
          <t>Carla Souza</t>
        </is>
      </c>
      <c r="C154" s="5" t="inlineStr">
        <is>
          <t>Rua das Acácias</t>
        </is>
      </c>
      <c r="D154" s="5" t="inlineStr">
        <is>
          <t>191</t>
        </is>
      </c>
      <c r="E154" s="5" t="inlineStr">
        <is>
          <t>Distrito Leste</t>
        </is>
      </c>
      <c r="F154" s="5" t="inlineStr">
        <is>
          <t>EMEF Centro</t>
        </is>
      </c>
      <c r="G154" s="5" t="inlineStr">
        <is>
          <t>M</t>
        </is>
      </c>
      <c r="H154" s="5" t="inlineStr"/>
      <c r="I154" s="5" t="inlineStr"/>
      <c r="J154" s="5" t="n">
        <v>-21.157796</v>
      </c>
      <c r="K154" s="5" t="n">
        <v>-47.748314</v>
      </c>
      <c r="L154" s="5" t="inlineStr"/>
    </row>
    <row r="155">
      <c r="A155" s="4" t="inlineStr">
        <is>
          <t>2026148</t>
        </is>
      </c>
      <c r="B155" s="4" t="inlineStr">
        <is>
          <t>João Silva</t>
        </is>
      </c>
      <c r="C155" s="4" t="inlineStr">
        <is>
          <t>Av. Central</t>
        </is>
      </c>
      <c r="D155" s="4" t="inlineStr">
        <is>
          <t>400</t>
        </is>
      </c>
      <c r="E155" s="4" t="inlineStr">
        <is>
          <t>Vila Rural Sul</t>
        </is>
      </c>
      <c r="F155" s="4" t="inlineStr">
        <is>
          <t>EMEF Centro</t>
        </is>
      </c>
      <c r="G155" s="4" t="inlineStr">
        <is>
          <t xml:space="preserve">tarde </t>
        </is>
      </c>
      <c r="H155" s="4" t="inlineStr">
        <is>
          <t>N</t>
        </is>
      </c>
      <c r="I155" s="4" t="inlineStr"/>
      <c r="J155" s="4" t="n">
        <v>-21.252738</v>
      </c>
      <c r="K155" s="4" t="n">
        <v>-47.87247</v>
      </c>
      <c r="L155" s="4" t="inlineStr">
        <is>
          <t>descer no ponto do vizinho</t>
        </is>
      </c>
    </row>
    <row r="156">
      <c r="A156" s="5" t="inlineStr">
        <is>
          <t>2026149</t>
        </is>
      </c>
      <c r="B156" s="5" t="inlineStr">
        <is>
          <t>Diego Almeida</t>
        </is>
      </c>
      <c r="C156" s="5" t="inlineStr">
        <is>
          <t>Av. Central</t>
        </is>
      </c>
      <c r="D156" s="5" t="inlineStr">
        <is>
          <t>s/n</t>
        </is>
      </c>
      <c r="E156" s="5" t="inlineStr">
        <is>
          <t>Assent. Oeste</t>
        </is>
      </c>
      <c r="F156" s="5" t="inlineStr">
        <is>
          <t>EMEF Vila Rural Sul</t>
        </is>
      </c>
      <c r="G156" s="5" t="inlineStr">
        <is>
          <t>M</t>
        </is>
      </c>
      <c r="H156" s="5" t="inlineStr">
        <is>
          <t>não</t>
        </is>
      </c>
      <c r="I156" s="5" t="inlineStr">
        <is>
          <t>sim</t>
        </is>
      </c>
      <c r="J156" s="5" t="inlineStr"/>
      <c r="K156" s="5" t="inlineStr"/>
      <c r="L156" s="5" t="inlineStr"/>
    </row>
    <row r="157">
      <c r="A157" s="4" t="inlineStr">
        <is>
          <t>2026150</t>
        </is>
      </c>
      <c r="B157" s="4" t="inlineStr">
        <is>
          <t>Nelson Nascimento</t>
        </is>
      </c>
      <c r="C157" s="4" t="inlineStr">
        <is>
          <t>Rua do Córrego</t>
        </is>
      </c>
      <c r="D157" s="4" t="inlineStr">
        <is>
          <t>486</t>
        </is>
      </c>
      <c r="E157" s="4" t="inlineStr">
        <is>
          <t>Sede Urbana</t>
        </is>
      </c>
      <c r="F157" s="4" t="inlineStr">
        <is>
          <t>EMEF Centro</t>
        </is>
      </c>
      <c r="G157" s="4" t="inlineStr">
        <is>
          <t>T</t>
        </is>
      </c>
      <c r="H157" s="4" t="inlineStr"/>
      <c r="I157" s="4" t="inlineStr"/>
      <c r="J157" s="4" t="n">
        <v>-21.14264</v>
      </c>
      <c r="K157" s="4" t="n">
        <v>-47.789835</v>
      </c>
      <c r="L157" s="4" t="inlineStr"/>
    </row>
    <row r="158">
      <c r="A158" s="5" t="inlineStr">
        <is>
          <t>2026151</t>
        </is>
      </c>
      <c r="B158" s="5" t="inlineStr">
        <is>
          <t>Sônia Barbosa</t>
        </is>
      </c>
      <c r="C158" s="5" t="inlineStr">
        <is>
          <t>Estrada do Assentamento</t>
        </is>
      </c>
      <c r="D158" s="5" t="inlineStr">
        <is>
          <t>753</t>
        </is>
      </c>
      <c r="E158" s="5" t="inlineStr">
        <is>
          <t>Distrito Norte</t>
        </is>
      </c>
      <c r="F158" s="5" t="inlineStr">
        <is>
          <t>EMEF Centro</t>
        </is>
      </c>
      <c r="G158" s="5" t="inlineStr">
        <is>
          <t>M</t>
        </is>
      </c>
      <c r="H158" s="5" t="inlineStr"/>
      <c r="I158" s="5" t="inlineStr"/>
      <c r="J158" s="5" t="n">
        <v>-21.107773</v>
      </c>
      <c r="K158" s="5" t="n">
        <v>-47.749108</v>
      </c>
      <c r="L158" s="5" t="inlineStr">
        <is>
          <t>descer no ponto do vizinho</t>
        </is>
      </c>
    </row>
    <row r="159">
      <c r="A159" s="4" t="inlineStr">
        <is>
          <t>2026152</t>
        </is>
      </c>
      <c r="B159" s="4" t="inlineStr">
        <is>
          <t>Vinícius Martins</t>
        </is>
      </c>
      <c r="C159" s="4" t="inlineStr">
        <is>
          <t>Estrada do Assentamento</t>
        </is>
      </c>
      <c r="D159" s="4" t="inlineStr">
        <is>
          <t>139</t>
        </is>
      </c>
      <c r="E159" s="4" t="inlineStr">
        <is>
          <t>Distrito Leste</t>
        </is>
      </c>
      <c r="F159" s="4" t="inlineStr">
        <is>
          <t>EMEF Vila Rural Sul</t>
        </is>
      </c>
      <c r="G159" s="4" t="inlineStr">
        <is>
          <t>MAT</t>
        </is>
      </c>
      <c r="H159" s="4" t="inlineStr">
        <is>
          <t>não</t>
        </is>
      </c>
      <c r="I159" s="4" t="inlineStr"/>
      <c r="J159" s="4" t="n">
        <v>-21.145474</v>
      </c>
      <c r="K159" s="4" t="n">
        <v>-47.728989</v>
      </c>
      <c r="L159" s="4" t="inlineStr"/>
    </row>
    <row r="160">
      <c r="A160" s="5" t="inlineStr">
        <is>
          <t>2026153</t>
        </is>
      </c>
      <c r="B160" s="5" t="inlineStr">
        <is>
          <t>Vinícius Rodrigues</t>
        </is>
      </c>
      <c r="C160" s="5" t="inlineStr">
        <is>
          <t>Travessa São José</t>
        </is>
      </c>
      <c r="D160" s="5" t="inlineStr">
        <is>
          <t>58</t>
        </is>
      </c>
      <c r="E160" s="5" t="inlineStr">
        <is>
          <t>Vila Rural Sul</t>
        </is>
      </c>
      <c r="F160" s="5" t="inlineStr">
        <is>
          <t>EMEF Distrito Norte</t>
        </is>
      </c>
      <c r="G160" s="5" t="inlineStr">
        <is>
          <t>Vespertino</t>
        </is>
      </c>
      <c r="H160" s="5" t="inlineStr">
        <is>
          <t>N</t>
        </is>
      </c>
      <c r="I160" s="5" t="inlineStr"/>
      <c r="J160" s="5" t="n">
        <v>-21.227098</v>
      </c>
      <c r="K160" s="5" t="n">
        <v>-47.853256</v>
      </c>
      <c r="L160" s="5" t="inlineStr">
        <is>
          <t>estrada ruim em dia de chuva</t>
        </is>
      </c>
    </row>
    <row r="161">
      <c r="A161" s="4" t="inlineStr">
        <is>
          <t>2026154</t>
        </is>
      </c>
      <c r="B161" s="4" t="inlineStr">
        <is>
          <t>Diego Rodrigues</t>
        </is>
      </c>
      <c r="C161" s="4" t="inlineStr">
        <is>
          <t>Travessa São José</t>
        </is>
      </c>
      <c r="D161" s="4" t="inlineStr">
        <is>
          <t>596</t>
        </is>
      </c>
      <c r="E161" s="4" t="inlineStr">
        <is>
          <t>Assent. Oeste</t>
        </is>
      </c>
      <c r="F161" s="4" t="inlineStr">
        <is>
          <t>EMEF Distrito Norte</t>
        </is>
      </c>
      <c r="G161" s="4" t="inlineStr">
        <is>
          <t>M</t>
        </is>
      </c>
      <c r="H161" s="4" t="inlineStr"/>
      <c r="I161" s="4" t="inlineStr"/>
      <c r="J161" s="4" t="n">
        <v>-21.147094</v>
      </c>
      <c r="K161" s="4" t="n">
        <v>-47.883543</v>
      </c>
      <c r="L161" s="4" t="inlineStr"/>
    </row>
    <row r="162">
      <c r="A162" s="5" t="inlineStr">
        <is>
          <t>2026155</t>
        </is>
      </c>
      <c r="B162" s="5" t="inlineStr">
        <is>
          <t xml:space="preserve">  Ivone Souza </t>
        </is>
      </c>
      <c r="C162" s="5" t="inlineStr">
        <is>
          <t>Av. Central</t>
        </is>
      </c>
      <c r="D162" s="5" t="inlineStr">
        <is>
          <t>386</t>
        </is>
      </c>
      <c r="E162" s="5" t="inlineStr">
        <is>
          <t>Sede Urbana</t>
        </is>
      </c>
      <c r="F162" s="5" t="inlineStr">
        <is>
          <t>EMEF Distrito Norte</t>
        </is>
      </c>
      <c r="G162" s="5" t="inlineStr">
        <is>
          <t>M</t>
        </is>
      </c>
      <c r="H162" s="5" t="inlineStr"/>
      <c r="I162" s="5" t="inlineStr"/>
      <c r="J162" s="5" t="n">
        <v>-21.132547</v>
      </c>
      <c r="K162" s="5" t="n">
        <v>-47.793389</v>
      </c>
      <c r="L162" s="5" t="inlineStr">
        <is>
          <t>mora depois da ponte</t>
        </is>
      </c>
    </row>
    <row r="163">
      <c r="A163" s="4" t="inlineStr">
        <is>
          <t>2026156</t>
        </is>
      </c>
      <c r="B163" s="4" t="inlineStr">
        <is>
          <t>Marina Ribeiro</t>
        </is>
      </c>
      <c r="C163" s="4" t="inlineStr">
        <is>
          <t>Av. Central</t>
        </is>
      </c>
      <c r="D163" s="4" t="inlineStr">
        <is>
          <t>16</t>
        </is>
      </c>
      <c r="E163" s="4" t="inlineStr">
        <is>
          <t>Distrito Norte</t>
        </is>
      </c>
      <c r="F163" s="4" t="inlineStr">
        <is>
          <t>EMEF Vila Rural Sul</t>
        </is>
      </c>
      <c r="G163" s="4" t="inlineStr">
        <is>
          <t>manha</t>
        </is>
      </c>
      <c r="H163" s="4" t="inlineStr"/>
      <c r="I163" s="4" t="inlineStr"/>
      <c r="J163" s="4" t="n">
        <v>-21.071291</v>
      </c>
      <c r="K163" s="4" t="n">
        <v>-47.765647</v>
      </c>
      <c r="L163" s="4" t="inlineStr"/>
    </row>
    <row r="164">
      <c r="A164" s="5" t="inlineStr">
        <is>
          <t>2026157</t>
        </is>
      </c>
      <c r="B164" s="5" t="inlineStr">
        <is>
          <t>Ana Barbosa</t>
        </is>
      </c>
      <c r="C164" s="5" t="inlineStr">
        <is>
          <t>Rua do Córrego</t>
        </is>
      </c>
      <c r="D164" s="5" t="inlineStr">
        <is>
          <t>709</t>
        </is>
      </c>
      <c r="E164" s="5" t="inlineStr">
        <is>
          <t>Distrito Leste</t>
        </is>
      </c>
      <c r="F164" s="5" t="inlineStr">
        <is>
          <t>EMEF Centro</t>
        </is>
      </c>
      <c r="G164" s="5" t="inlineStr">
        <is>
          <t>T</t>
        </is>
      </c>
      <c r="H164" s="5" t="inlineStr"/>
      <c r="I164" s="5" t="inlineStr">
        <is>
          <t>sim</t>
        </is>
      </c>
      <c r="J164" s="5" t="n">
        <v>-21.146563</v>
      </c>
      <c r="K164" s="5" t="n">
        <v>-47.718534</v>
      </c>
      <c r="L164" s="5" t="inlineStr"/>
    </row>
    <row r="165">
      <c r="A165" s="4" t="inlineStr">
        <is>
          <t>2026158</t>
        </is>
      </c>
      <c r="B165" s="4" t="inlineStr">
        <is>
          <t>Rafael Araújo</t>
        </is>
      </c>
      <c r="C165" s="4" t="inlineStr">
        <is>
          <t>Estrada do Assentamento</t>
        </is>
      </c>
      <c r="D165" s="4" t="inlineStr">
        <is>
          <t>321</t>
        </is>
      </c>
      <c r="E165" s="4" t="inlineStr">
        <is>
          <t>Vila Rural Sul</t>
        </is>
      </c>
      <c r="F165" s="4" t="inlineStr">
        <is>
          <t>EMEF Centro</t>
        </is>
      </c>
      <c r="G165" s="4" t="inlineStr">
        <is>
          <t xml:space="preserve">tarde </t>
        </is>
      </c>
      <c r="H165" s="4" t="inlineStr">
        <is>
          <t>não</t>
        </is>
      </c>
      <c r="I165" s="4" t="inlineStr">
        <is>
          <t>sim</t>
        </is>
      </c>
      <c r="J165" s="4" t="n">
        <v>-21.210832</v>
      </c>
      <c r="K165" s="4" t="n">
        <v>-47.872165</v>
      </c>
      <c r="L165" s="4" t="inlineStr"/>
    </row>
    <row r="166">
      <c r="A166" s="5" t="inlineStr">
        <is>
          <t>2026159</t>
        </is>
      </c>
      <c r="B166" s="5" t="inlineStr">
        <is>
          <t>Heitor Pereira</t>
        </is>
      </c>
      <c r="C166" s="5" t="inlineStr">
        <is>
          <t>Av. Central</t>
        </is>
      </c>
      <c r="D166" s="5" t="inlineStr">
        <is>
          <t>s/n</t>
        </is>
      </c>
      <c r="E166" s="5" t="inlineStr">
        <is>
          <t>Assent. Oeste</t>
        </is>
      </c>
      <c r="F166" s="5" t="inlineStr">
        <is>
          <t>EMEF Distrito Norte</t>
        </is>
      </c>
      <c r="G166" s="5" t="inlineStr">
        <is>
          <t>manha</t>
        </is>
      </c>
      <c r="H166" s="5" t="inlineStr"/>
      <c r="I166" s="5" t="inlineStr"/>
      <c r="J166" s="5" t="inlineStr"/>
      <c r="K166" s="5" t="inlineStr"/>
      <c r="L166" s="5" t="inlineStr">
        <is>
          <t>mora depois da ponte</t>
        </is>
      </c>
    </row>
    <row r="167">
      <c r="A167" s="4" t="inlineStr">
        <is>
          <t>2026160</t>
        </is>
      </c>
      <c r="B167" s="4" t="inlineStr">
        <is>
          <t>Yasmin Pereira</t>
        </is>
      </c>
      <c r="C167" s="4" t="inlineStr">
        <is>
          <t>Rua do Córrego</t>
        </is>
      </c>
      <c r="D167" s="4" t="inlineStr">
        <is>
          <t>s/n</t>
        </is>
      </c>
      <c r="E167" s="4" t="inlineStr">
        <is>
          <t>Sede Urbana</t>
        </is>
      </c>
      <c r="F167" s="4" t="inlineStr">
        <is>
          <t>EMEF Vila Rural Sul</t>
        </is>
      </c>
      <c r="G167" s="4" t="inlineStr">
        <is>
          <t>manha</t>
        </is>
      </c>
      <c r="H167" s="4" t="inlineStr">
        <is>
          <t>não</t>
        </is>
      </c>
      <c r="I167" s="4" t="inlineStr"/>
      <c r="J167" s="4" t="inlineStr"/>
      <c r="K167" s="4" t="inlineStr"/>
      <c r="L167" s="4" t="inlineStr"/>
    </row>
    <row r="168">
      <c r="A168" s="5" t="inlineStr">
        <is>
          <t>2026161</t>
        </is>
      </c>
      <c r="B168" s="5" t="inlineStr">
        <is>
          <t>ÚRSULA ARAÚJO</t>
        </is>
      </c>
      <c r="C168" s="5" t="inlineStr">
        <is>
          <t>Estrada do Assentamento</t>
        </is>
      </c>
      <c r="D168" s="5" t="inlineStr">
        <is>
          <t>180</t>
        </is>
      </c>
      <c r="E168" s="5" t="inlineStr">
        <is>
          <t>Distrito Norte</t>
        </is>
      </c>
      <c r="F168" s="5" t="inlineStr">
        <is>
          <t>EMEF Centro</t>
        </is>
      </c>
      <c r="G168" s="5" t="inlineStr">
        <is>
          <t>M</t>
        </is>
      </c>
      <c r="H168" s="5" t="inlineStr"/>
      <c r="I168" s="5" t="inlineStr"/>
      <c r="J168" s="5" t="n">
        <v>-21.078702</v>
      </c>
      <c r="K168" s="5" t="n">
        <v>-47.764711</v>
      </c>
      <c r="L168" s="5" t="inlineStr"/>
    </row>
    <row r="169">
      <c r="A169" s="4" t="inlineStr">
        <is>
          <t>2026162</t>
        </is>
      </c>
      <c r="B169" s="4" t="inlineStr">
        <is>
          <t>Olívia Silva</t>
        </is>
      </c>
      <c r="C169" s="4" t="inlineStr">
        <is>
          <t>Sítio Boa Vista</t>
        </is>
      </c>
      <c r="D169" s="4" t="inlineStr">
        <is>
          <t>616</t>
        </is>
      </c>
      <c r="E169" s="4" t="inlineStr">
        <is>
          <t>Distrito Leste</t>
        </is>
      </c>
      <c r="F169" s="4" t="inlineStr">
        <is>
          <t>EMEF Distrito Norte</t>
        </is>
      </c>
      <c r="G169" s="4" t="inlineStr">
        <is>
          <t>M</t>
        </is>
      </c>
      <c r="H169" s="4" t="inlineStr"/>
      <c r="I169" s="4" t="inlineStr"/>
      <c r="J169" s="4" t="n">
        <v>-21.165289</v>
      </c>
      <c r="K169" s="4" t="n">
        <v>-47.717029</v>
      </c>
      <c r="L169" s="4" t="inlineStr">
        <is>
          <t>porteira fechada, buzinar</t>
        </is>
      </c>
    </row>
    <row r="170">
      <c r="A170" s="5" t="inlineStr">
        <is>
          <t>2026163</t>
        </is>
      </c>
      <c r="B170" s="5" t="inlineStr">
        <is>
          <t>Marina Martins</t>
        </is>
      </c>
      <c r="C170" s="5" t="inlineStr">
        <is>
          <t>Travessa São José</t>
        </is>
      </c>
      <c r="D170" s="5" t="inlineStr">
        <is>
          <t>123</t>
        </is>
      </c>
      <c r="E170" s="5" t="inlineStr">
        <is>
          <t>Vila Rural Sul</t>
        </is>
      </c>
      <c r="F170" s="5" t="inlineStr">
        <is>
          <t>EMEF Centro</t>
        </is>
      </c>
      <c r="G170" s="5" t="inlineStr">
        <is>
          <t>Manhã</t>
        </is>
      </c>
      <c r="H170" s="5" t="inlineStr"/>
      <c r="I170" s="5" t="inlineStr"/>
      <c r="J170" s="5" t="n">
        <v>-21.228637</v>
      </c>
      <c r="K170" s="5" t="n">
        <v>-47.868005</v>
      </c>
      <c r="L170" s="5" t="inlineStr">
        <is>
          <t>descer no ponto do vizinho</t>
        </is>
      </c>
    </row>
    <row r="171">
      <c r="A171" s="4" t="inlineStr">
        <is>
          <t>2026164</t>
        </is>
      </c>
      <c r="B171" s="4" t="inlineStr">
        <is>
          <t>Carla Barbosa</t>
        </is>
      </c>
      <c r="C171" s="4" t="inlineStr">
        <is>
          <t>Estrada do Assentamento</t>
        </is>
      </c>
      <c r="D171" s="4" t="inlineStr">
        <is>
          <t>174</t>
        </is>
      </c>
      <c r="E171" s="4" t="inlineStr">
        <is>
          <t>Assent. Oeste</t>
        </is>
      </c>
      <c r="F171" s="4" t="inlineStr">
        <is>
          <t>EMEF Distrito Norte</t>
        </is>
      </c>
      <c r="G171" s="4" t="inlineStr">
        <is>
          <t>M</t>
        </is>
      </c>
      <c r="H171" s="4" t="inlineStr"/>
      <c r="I171" s="4" t="inlineStr"/>
      <c r="J171" s="4" t="n">
        <v>-21.139926</v>
      </c>
      <c r="K171" s="4" t="n">
        <v>-47.887037</v>
      </c>
      <c r="L171" s="4" t="inlineStr">
        <is>
          <t>mora depois da ponte</t>
        </is>
      </c>
    </row>
    <row r="172">
      <c r="A172" s="5" t="inlineStr">
        <is>
          <t>2026165</t>
        </is>
      </c>
      <c r="B172" s="5" t="inlineStr">
        <is>
          <t>Karina Araújo</t>
        </is>
      </c>
      <c r="C172" s="5" t="inlineStr">
        <is>
          <t>Sítio Boa Vista</t>
        </is>
      </c>
      <c r="D172" s="5" t="inlineStr">
        <is>
          <t>559</t>
        </is>
      </c>
      <c r="E172" s="5" t="inlineStr">
        <is>
          <t>Sede Urbana</t>
        </is>
      </c>
      <c r="F172" s="5" t="inlineStr">
        <is>
          <t>EMEF Centro</t>
        </is>
      </c>
      <c r="G172" s="5" t="inlineStr">
        <is>
          <t>MAT</t>
        </is>
      </c>
      <c r="H172" s="5" t="inlineStr"/>
      <c r="I172" s="5" t="inlineStr"/>
      <c r="J172" s="5" t="n">
        <v>-21.146597</v>
      </c>
      <c r="K172" s="5" t="n">
        <v>-47.797978</v>
      </c>
      <c r="L172" s="5" t="inlineStr">
        <is>
          <t>mora depois da ponte</t>
        </is>
      </c>
    </row>
    <row r="173">
      <c r="A173" s="4" t="inlineStr">
        <is>
          <t>2026166</t>
        </is>
      </c>
      <c r="B173" s="4" t="inlineStr">
        <is>
          <t>Carla Silva</t>
        </is>
      </c>
      <c r="C173" s="4" t="inlineStr">
        <is>
          <t>Av. Central</t>
        </is>
      </c>
      <c r="D173" s="4" t="inlineStr">
        <is>
          <t>360</t>
        </is>
      </c>
      <c r="E173" s="4" t="inlineStr">
        <is>
          <t>Distrito Norte</t>
        </is>
      </c>
      <c r="F173" s="4" t="inlineStr">
        <is>
          <t>EMEF Centro</t>
        </is>
      </c>
      <c r="G173" s="4" t="inlineStr">
        <is>
          <t>manha</t>
        </is>
      </c>
      <c r="H173" s="4" t="inlineStr"/>
      <c r="I173" s="4" t="inlineStr"/>
      <c r="J173" s="4" t="n">
        <v>-21.082352</v>
      </c>
      <c r="K173" s="4" t="n">
        <v>-47.798498</v>
      </c>
      <c r="L173" s="4" t="inlineStr"/>
    </row>
    <row r="174">
      <c r="A174" s="5" t="inlineStr">
        <is>
          <t>2026167</t>
        </is>
      </c>
      <c r="B174" s="5" t="inlineStr">
        <is>
          <t>Lucas Barbosa</t>
        </is>
      </c>
      <c r="C174" s="5" t="inlineStr">
        <is>
          <t>Estrada Municipal RM-040</t>
        </is>
      </c>
      <c r="D174" s="5" t="inlineStr">
        <is>
          <t>841</t>
        </is>
      </c>
      <c r="E174" s="5" t="inlineStr">
        <is>
          <t>Distrito Leste</t>
        </is>
      </c>
      <c r="F174" s="5" t="inlineStr">
        <is>
          <t>EMEF Centro</t>
        </is>
      </c>
      <c r="G174" s="5" t="inlineStr">
        <is>
          <t>M</t>
        </is>
      </c>
      <c r="H174" s="5" t="inlineStr"/>
      <c r="I174" s="5" t="inlineStr"/>
      <c r="J174" s="5" t="n">
        <v>-21.155475</v>
      </c>
      <c r="K174" s="5" t="n">
        <v>-47.693021</v>
      </c>
      <c r="L174" s="5" t="inlineStr">
        <is>
          <t>família mudou de endereço</t>
        </is>
      </c>
    </row>
    <row r="175">
      <c r="A175" s="4" t="inlineStr">
        <is>
          <t>2026168</t>
        </is>
      </c>
      <c r="B175" s="4" t="inlineStr">
        <is>
          <t>Elis Ribeiro</t>
        </is>
      </c>
      <c r="C175" s="4" t="inlineStr">
        <is>
          <t>Estrada do Assentamento</t>
        </is>
      </c>
      <c r="D175" s="4" t="inlineStr">
        <is>
          <t>846</t>
        </is>
      </c>
      <c r="E175" s="4" t="inlineStr">
        <is>
          <t>Vila Rural Sul</t>
        </is>
      </c>
      <c r="F175" s="4" t="inlineStr">
        <is>
          <t>EMEF Centro</t>
        </is>
      </c>
      <c r="G175" s="4" t="inlineStr">
        <is>
          <t>T</t>
        </is>
      </c>
      <c r="H175" s="4" t="inlineStr"/>
      <c r="I175" s="4" t="inlineStr"/>
      <c r="J175" s="4" t="n">
        <v>-21.214308</v>
      </c>
      <c r="K175" s="4" t="n">
        <v>-47.816959</v>
      </c>
      <c r="L175" s="4" t="inlineStr"/>
    </row>
    <row r="176">
      <c r="A176" s="5" t="inlineStr">
        <is>
          <t>2026168</t>
        </is>
      </c>
      <c r="B176" s="5" t="inlineStr">
        <is>
          <t>Elis Ribeiro</t>
        </is>
      </c>
      <c r="C176" s="5" t="inlineStr">
        <is>
          <t>Estrada do Assentamento</t>
        </is>
      </c>
      <c r="D176" s="5" t="inlineStr">
        <is>
          <t>846</t>
        </is>
      </c>
      <c r="E176" s="5" t="inlineStr">
        <is>
          <t>Vila Rural Sul</t>
        </is>
      </c>
      <c r="F176" s="5" t="inlineStr">
        <is>
          <t>EMEF Centro</t>
        </is>
      </c>
      <c r="G176" s="5" t="inlineStr">
        <is>
          <t>T</t>
        </is>
      </c>
      <c r="H176" s="5" t="inlineStr"/>
      <c r="I176" s="5" t="inlineStr"/>
      <c r="J176" s="5" t="n">
        <v>-21.214308</v>
      </c>
      <c r="K176" s="5" t="n">
        <v>-47.816959</v>
      </c>
      <c r="L176" s="5" t="inlineStr"/>
    </row>
    <row r="177">
      <c r="A177" s="4" t="inlineStr">
        <is>
          <t>2026169</t>
        </is>
      </c>
      <c r="B177" s="4" t="inlineStr">
        <is>
          <t>Fábio Oliveira</t>
        </is>
      </c>
      <c r="C177" s="4" t="inlineStr">
        <is>
          <t>Linha 3 do Assentamento</t>
        </is>
      </c>
      <c r="D177" s="4" t="inlineStr">
        <is>
          <t>s/n</t>
        </is>
      </c>
      <c r="E177" s="4" t="inlineStr">
        <is>
          <t>Assent. Oeste</t>
        </is>
      </c>
      <c r="F177" s="4" t="inlineStr">
        <is>
          <t>EMEF Vila Rural Sul</t>
        </is>
      </c>
      <c r="G177" s="4" t="inlineStr">
        <is>
          <t>Vespertino</t>
        </is>
      </c>
      <c r="H177" s="4" t="inlineStr"/>
      <c r="I177" s="4" t="inlineStr"/>
      <c r="J177" s="4" t="inlineStr"/>
      <c r="K177" s="4" t="inlineStr"/>
      <c r="L177" s="4" t="inlineStr">
        <is>
          <t>família mudou de endereço</t>
        </is>
      </c>
    </row>
    <row r="178">
      <c r="A178" s="5" t="inlineStr">
        <is>
          <t>2026170</t>
        </is>
      </c>
      <c r="B178" s="5" t="inlineStr">
        <is>
          <t>Olívia Nascimento</t>
        </is>
      </c>
      <c r="C178" s="5" t="inlineStr">
        <is>
          <t>Estrada Municipal RM-040</t>
        </is>
      </c>
      <c r="D178" s="5" t="inlineStr">
        <is>
          <t>176</t>
        </is>
      </c>
      <c r="E178" s="5" t="inlineStr">
        <is>
          <t>Sede Urbana</t>
        </is>
      </c>
      <c r="F178" s="5" t="inlineStr">
        <is>
          <t>EMEF Distrito Norte</t>
        </is>
      </c>
      <c r="G178" s="5" t="inlineStr">
        <is>
          <t>Vespertino</t>
        </is>
      </c>
      <c r="H178" s="5" t="inlineStr"/>
      <c r="I178" s="5" t="inlineStr"/>
      <c r="J178" s="5" t="n">
        <v>-21.157592</v>
      </c>
      <c r="K178" s="5" t="n">
        <v>-47.81757</v>
      </c>
      <c r="L178" s="5" t="inlineStr"/>
    </row>
    <row r="179">
      <c r="A179" s="4" t="inlineStr">
        <is>
          <t>2026171</t>
        </is>
      </c>
      <c r="B179" s="4" t="inlineStr">
        <is>
          <t>Ivone Oliveira</t>
        </is>
      </c>
      <c r="C179" s="4" t="inlineStr">
        <is>
          <t>Sítio Boa Vista</t>
        </is>
      </c>
      <c r="D179" s="4" t="inlineStr">
        <is>
          <t>s/n</t>
        </is>
      </c>
      <c r="E179" s="4" t="inlineStr">
        <is>
          <t>Distrito Norte</t>
        </is>
      </c>
      <c r="F179" s="4" t="inlineStr">
        <is>
          <t>EMEF Distrito Norte</t>
        </is>
      </c>
      <c r="G179" s="4" t="inlineStr">
        <is>
          <t>MAT</t>
        </is>
      </c>
      <c r="H179" s="4" t="inlineStr"/>
      <c r="I179" s="4" t="inlineStr"/>
      <c r="J179" s="4" t="inlineStr"/>
      <c r="K179" s="4" t="inlineStr"/>
      <c r="L179" s="4" t="inlineStr">
        <is>
          <t>descer no ponto do vizinho</t>
        </is>
      </c>
    </row>
    <row r="180">
      <c r="A180" s="5" t="inlineStr">
        <is>
          <t>2026172</t>
        </is>
      </c>
      <c r="B180" s="5" t="inlineStr">
        <is>
          <t>João Costa</t>
        </is>
      </c>
      <c r="C180" s="5" t="inlineStr">
        <is>
          <t>Estrada Municipal RM-040</t>
        </is>
      </c>
      <c r="D180" s="5" t="inlineStr">
        <is>
          <t>851</t>
        </is>
      </c>
      <c r="E180" s="5" t="inlineStr">
        <is>
          <t>Distrito Leste</t>
        </is>
      </c>
      <c r="F180" s="5" t="inlineStr">
        <is>
          <t>EMEF Vila Rural Sul</t>
        </is>
      </c>
      <c r="G180" s="5" t="inlineStr">
        <is>
          <t xml:space="preserve">tarde </t>
        </is>
      </c>
      <c r="H180" s="5" t="inlineStr"/>
      <c r="I180" s="5" t="inlineStr"/>
      <c r="J180" s="5" t="n">
        <v>-21.143768</v>
      </c>
      <c r="K180" s="5" t="n">
        <v>-47.726726</v>
      </c>
      <c r="L180" s="5" t="inlineStr">
        <is>
          <t>mora depois da ponte</t>
        </is>
      </c>
    </row>
    <row r="181">
      <c r="A181" s="4" t="inlineStr">
        <is>
          <t>2026173</t>
        </is>
      </c>
      <c r="B181" s="4" t="inlineStr">
        <is>
          <t>Yasmin Silva</t>
        </is>
      </c>
      <c r="C181" s="4" t="inlineStr">
        <is>
          <t>Sítio Boa Vista</t>
        </is>
      </c>
      <c r="D181" s="4" t="inlineStr">
        <is>
          <t>374</t>
        </is>
      </c>
      <c r="E181" s="4" t="inlineStr">
        <is>
          <t>Vila Rural Sul</t>
        </is>
      </c>
      <c r="F181" s="4" t="inlineStr">
        <is>
          <t>EMEF Distrito Norte</t>
        </is>
      </c>
      <c r="G181" s="4" t="inlineStr">
        <is>
          <t>Manhã</t>
        </is>
      </c>
      <c r="H181" s="4" t="inlineStr"/>
      <c r="I181" s="4" t="inlineStr">
        <is>
          <t>sim</t>
        </is>
      </c>
      <c r="J181" s="4" t="n">
        <v>-21.22712</v>
      </c>
      <c r="K181" s="4" t="n">
        <v>-47.851367</v>
      </c>
      <c r="L181" s="4" t="inlineStr">
        <is>
          <t>mora depois da ponte</t>
        </is>
      </c>
    </row>
    <row r="182">
      <c r="A182" s="5" t="inlineStr">
        <is>
          <t>2026174</t>
        </is>
      </c>
      <c r="B182" s="5" t="inlineStr">
        <is>
          <t>Ivone Barbosa</t>
        </is>
      </c>
      <c r="C182" s="5" t="inlineStr">
        <is>
          <t>Av. Central</t>
        </is>
      </c>
      <c r="D182" s="5" t="inlineStr">
        <is>
          <t>399</t>
        </is>
      </c>
      <c r="E182" s="5" t="inlineStr">
        <is>
          <t>Assent. Oeste</t>
        </is>
      </c>
      <c r="F182" s="5" t="inlineStr">
        <is>
          <t>EMEF Vila Rural Sul</t>
        </is>
      </c>
      <c r="G182" s="5" t="inlineStr">
        <is>
          <t xml:space="preserve">tarde </t>
        </is>
      </c>
      <c r="H182" s="5" t="inlineStr"/>
      <c r="I182" s="5" t="inlineStr">
        <is>
          <t>sim</t>
        </is>
      </c>
      <c r="J182" s="5" t="n">
        <v>-21.193734</v>
      </c>
      <c r="K182" s="5" t="n">
        <v>-47.887751</v>
      </c>
      <c r="L182" s="5" t="inlineStr">
        <is>
          <t>mora depois da ponte</t>
        </is>
      </c>
    </row>
    <row r="183">
      <c r="A183" s="4" t="inlineStr">
        <is>
          <t>2026175</t>
        </is>
      </c>
      <c r="B183" s="4" t="inlineStr">
        <is>
          <t>João Costa</t>
        </is>
      </c>
      <c r="C183" s="4" t="inlineStr">
        <is>
          <t>Rua das Acácias</t>
        </is>
      </c>
      <c r="D183" s="4" t="inlineStr">
        <is>
          <t>899</t>
        </is>
      </c>
      <c r="E183" s="4" t="inlineStr">
        <is>
          <t>Sede Urbana</t>
        </is>
      </c>
      <c r="F183" s="4" t="inlineStr">
        <is>
          <t>EMEF Centro</t>
        </is>
      </c>
      <c r="G183" s="4" t="inlineStr">
        <is>
          <t xml:space="preserve">tarde </t>
        </is>
      </c>
      <c r="H183" s="4" t="inlineStr"/>
      <c r="I183" s="4" t="inlineStr"/>
      <c r="J183" s="4" t="n">
        <v>-21.138165</v>
      </c>
      <c r="K183" s="4" t="n">
        <v>-47.807014</v>
      </c>
      <c r="L183" s="4" t="inlineStr">
        <is>
          <t>família mudou de endereço</t>
        </is>
      </c>
    </row>
    <row r="184">
      <c r="A184" s="5" t="inlineStr">
        <is>
          <t>2026176</t>
        </is>
      </c>
      <c r="B184" s="5" t="inlineStr">
        <is>
          <t>Heitor Martins</t>
        </is>
      </c>
      <c r="C184" s="5" t="inlineStr">
        <is>
          <t>Av. Central</t>
        </is>
      </c>
      <c r="D184" s="5" t="inlineStr">
        <is>
          <t>s/n</t>
        </is>
      </c>
      <c r="E184" s="5" t="inlineStr">
        <is>
          <t>Distrito Norte</t>
        </is>
      </c>
      <c r="F184" s="5" t="inlineStr">
        <is>
          <t>EMEF Distrito Norte</t>
        </is>
      </c>
      <c r="G184" s="5" t="inlineStr">
        <is>
          <t>Vespertino</t>
        </is>
      </c>
      <c r="H184" s="5" t="inlineStr">
        <is>
          <t>SIM</t>
        </is>
      </c>
      <c r="I184" s="5" t="inlineStr"/>
      <c r="J184" s="5" t="inlineStr"/>
      <c r="K184" s="5" t="inlineStr"/>
      <c r="L184" s="5" t="inlineStr">
        <is>
          <t>descer no ponto do vizinho</t>
        </is>
      </c>
    </row>
    <row r="185">
      <c r="A185" s="4" t="inlineStr">
        <is>
          <t>2026177</t>
        </is>
      </c>
      <c r="B185" s="4" t="inlineStr">
        <is>
          <t>Karina Rodrigues</t>
        </is>
      </c>
      <c r="C185" s="4" t="inlineStr">
        <is>
          <t>Sítio Boa Vista</t>
        </is>
      </c>
      <c r="D185" s="4" t="inlineStr">
        <is>
          <t>745</t>
        </is>
      </c>
      <c r="E185" s="4" t="inlineStr">
        <is>
          <t>Distrito Leste</t>
        </is>
      </c>
      <c r="F185" s="4" t="inlineStr">
        <is>
          <t>EMEF Distrito Norte</t>
        </is>
      </c>
      <c r="G185" s="4" t="inlineStr">
        <is>
          <t>Manhã</t>
        </is>
      </c>
      <c r="H185" s="4" t="inlineStr"/>
      <c r="I185" s="4" t="inlineStr"/>
      <c r="J185" s="4" t="n">
        <v>-21.109851</v>
      </c>
      <c r="K185" s="4" t="n">
        <v>-47.729933</v>
      </c>
      <c r="L185" s="4" t="inlineStr"/>
    </row>
    <row r="186">
      <c r="A186" s="5" t="inlineStr">
        <is>
          <t>2026178</t>
        </is>
      </c>
      <c r="B186" s="5" t="inlineStr">
        <is>
          <t>Vinícius Pereira</t>
        </is>
      </c>
      <c r="C186" s="5" t="inlineStr">
        <is>
          <t>Linha 3 do Assentamento</t>
        </is>
      </c>
      <c r="D186" s="5" t="inlineStr">
        <is>
          <t>453</t>
        </is>
      </c>
      <c r="E186" s="5" t="inlineStr">
        <is>
          <t>Vila Rural Sul</t>
        </is>
      </c>
      <c r="F186" s="5" t="inlineStr">
        <is>
          <t>EMEF Distrito Norte</t>
        </is>
      </c>
      <c r="G186" s="5" t="inlineStr">
        <is>
          <t>T</t>
        </is>
      </c>
      <c r="H186" s="5" t="inlineStr"/>
      <c r="I186" s="5" t="inlineStr"/>
      <c r="J186" s="5" t="n">
        <v>-21.24001</v>
      </c>
      <c r="K186" s="5" t="n">
        <v>-47.859267</v>
      </c>
      <c r="L186" s="5" t="inlineStr">
        <is>
          <t>descer no ponto do vizinho</t>
        </is>
      </c>
    </row>
    <row r="187">
      <c r="A187" s="4" t="inlineStr">
        <is>
          <t>2026179</t>
        </is>
      </c>
      <c r="B187" s="4" t="inlineStr">
        <is>
          <t>Carla Souza</t>
        </is>
      </c>
      <c r="C187" s="4" t="inlineStr">
        <is>
          <t>Rua do Córrego</t>
        </is>
      </c>
      <c r="D187" s="4" t="inlineStr">
        <is>
          <t>418</t>
        </is>
      </c>
      <c r="E187" s="4" t="inlineStr">
        <is>
          <t>Assent. Oeste</t>
        </is>
      </c>
      <c r="F187" s="4" t="inlineStr">
        <is>
          <t>EMEF Vila Rural Sul</t>
        </is>
      </c>
      <c r="G187" s="4" t="inlineStr">
        <is>
          <t>Manhã</t>
        </is>
      </c>
      <c r="H187" s="4" t="inlineStr"/>
      <c r="I187" s="4" t="inlineStr"/>
      <c r="J187" s="4" t="n">
        <v>-21.147727</v>
      </c>
      <c r="K187" s="4" t="n">
        <v>-47.88359</v>
      </c>
      <c r="L187" s="4" t="inlineStr"/>
    </row>
    <row r="188">
      <c r="A188" s="5" t="inlineStr">
        <is>
          <t>2026180</t>
        </is>
      </c>
      <c r="B188" s="5" t="inlineStr">
        <is>
          <t>Fábio Martins</t>
        </is>
      </c>
      <c r="C188" s="5" t="inlineStr">
        <is>
          <t>Sítio Boa Vista</t>
        </is>
      </c>
      <c r="D188" s="5" t="inlineStr">
        <is>
          <t>632</t>
        </is>
      </c>
      <c r="E188" s="5" t="inlineStr">
        <is>
          <t>Sede Urbana</t>
        </is>
      </c>
      <c r="F188" s="5" t="inlineStr">
        <is>
          <t>EMEF Centro</t>
        </is>
      </c>
      <c r="G188" s="5" t="inlineStr">
        <is>
          <t>Tarde</t>
        </is>
      </c>
      <c r="H188" s="5" t="inlineStr"/>
      <c r="I188" s="5" t="inlineStr"/>
      <c r="J188" s="5" t="n">
        <v>-21.150243</v>
      </c>
      <c r="K188" s="5" t="n">
        <v>-47.784078</v>
      </c>
      <c r="L188" s="5" t="inlineStr">
        <is>
          <t>família mudou de endereço</t>
        </is>
      </c>
    </row>
    <row r="189">
      <c r="A189" s="4" t="inlineStr">
        <is>
          <t>2026181</t>
        </is>
      </c>
      <c r="B189" s="4" t="inlineStr">
        <is>
          <t>Elis Silva</t>
        </is>
      </c>
      <c r="C189" s="4" t="inlineStr">
        <is>
          <t>Estrada Municipal RM-040</t>
        </is>
      </c>
      <c r="D189" s="4" t="inlineStr">
        <is>
          <t>876</t>
        </is>
      </c>
      <c r="E189" s="4" t="inlineStr">
        <is>
          <t>Distrito Norte</t>
        </is>
      </c>
      <c r="F189" s="4" t="inlineStr">
        <is>
          <t>EMEF Distrito Norte</t>
        </is>
      </c>
      <c r="G189" s="4" t="inlineStr">
        <is>
          <t>M</t>
        </is>
      </c>
      <c r="H189" s="4" t="inlineStr"/>
      <c r="I189" s="4" t="inlineStr"/>
      <c r="J189" s="4" t="n">
        <v>-21.075943</v>
      </c>
      <c r="K189" s="4" t="n">
        <v>-47.751337</v>
      </c>
      <c r="L189" s="4" t="inlineStr">
        <is>
          <t>descer no ponto do vizinho</t>
        </is>
      </c>
    </row>
    <row r="190">
      <c r="A190" s="5" t="inlineStr">
        <is>
          <t>2026182</t>
        </is>
      </c>
      <c r="B190" s="5" t="inlineStr">
        <is>
          <t>Ivone Rodrigues</t>
        </is>
      </c>
      <c r="C190" s="5" t="inlineStr">
        <is>
          <t>Sítio Boa Vista</t>
        </is>
      </c>
      <c r="D190" s="5" t="inlineStr">
        <is>
          <t>s/n</t>
        </is>
      </c>
      <c r="E190" s="5" t="inlineStr">
        <is>
          <t>Distrito Leste</t>
        </is>
      </c>
      <c r="F190" s="5" t="inlineStr">
        <is>
          <t>EMEF Distrito Norte</t>
        </is>
      </c>
      <c r="G190" s="5" t="inlineStr">
        <is>
          <t>M</t>
        </is>
      </c>
      <c r="H190" s="5" t="inlineStr"/>
      <c r="I190" s="5" t="inlineStr"/>
      <c r="J190" s="5" t="inlineStr"/>
      <c r="K190" s="5" t="inlineStr"/>
      <c r="L190" s="5" t="inlineStr">
        <is>
          <t>mora depois da ponte</t>
        </is>
      </c>
    </row>
    <row r="191">
      <c r="A191" s="4" t="inlineStr">
        <is>
          <t>2026183</t>
        </is>
      </c>
      <c r="B191" s="4" t="inlineStr">
        <is>
          <t>Wesley Nascimento</t>
        </is>
      </c>
      <c r="C191" s="4" t="inlineStr">
        <is>
          <t>Rua do Córrego</t>
        </is>
      </c>
      <c r="D191" s="4" t="inlineStr">
        <is>
          <t>s/n</t>
        </is>
      </c>
      <c r="E191" s="4" t="inlineStr">
        <is>
          <t>Vila Rural Sul</t>
        </is>
      </c>
      <c r="F191" s="4" t="inlineStr">
        <is>
          <t>EMEF Vila Rural Sul</t>
        </is>
      </c>
      <c r="G191" s="4" t="inlineStr">
        <is>
          <t>manha</t>
        </is>
      </c>
      <c r="H191" s="4" t="inlineStr"/>
      <c r="I191" s="4" t="inlineStr"/>
      <c r="J191" s="4" t="inlineStr"/>
      <c r="K191" s="4" t="inlineStr"/>
      <c r="L191" s="4" t="inlineStr">
        <is>
          <t>estrada ruim em dia de chuva</t>
        </is>
      </c>
    </row>
    <row r="192">
      <c r="A192" s="5" t="inlineStr">
        <is>
          <t>2026184</t>
        </is>
      </c>
      <c r="B192" s="5" t="inlineStr">
        <is>
          <t>GABRIELA MARTINS</t>
        </is>
      </c>
      <c r="C192" s="5" t="inlineStr">
        <is>
          <t>Estrada Municipal RM-040</t>
        </is>
      </c>
      <c r="D192" s="5" t="inlineStr">
        <is>
          <t>s/n</t>
        </is>
      </c>
      <c r="E192" s="5" t="inlineStr">
        <is>
          <t>Assent. Oeste</t>
        </is>
      </c>
      <c r="F192" s="5" t="inlineStr">
        <is>
          <t>EMEF Distrito Norte</t>
        </is>
      </c>
      <c r="G192" s="5" t="inlineStr">
        <is>
          <t xml:space="preserve">tarde </t>
        </is>
      </c>
      <c r="H192" s="5" t="inlineStr"/>
      <c r="I192" s="5" t="inlineStr"/>
      <c r="J192" s="5" t="inlineStr"/>
      <c r="K192" s="5" t="inlineStr"/>
      <c r="L192" s="5" t="inlineStr">
        <is>
          <t>mora depois da ponte</t>
        </is>
      </c>
    </row>
    <row r="193">
      <c r="A193" s="4" t="inlineStr">
        <is>
          <t>2026185</t>
        </is>
      </c>
      <c r="B193" s="4" t="inlineStr">
        <is>
          <t>Olívia Oliveira</t>
        </is>
      </c>
      <c r="C193" s="4" t="inlineStr">
        <is>
          <t>Rua das Acácias</t>
        </is>
      </c>
      <c r="D193" s="4" t="inlineStr">
        <is>
          <t>817</t>
        </is>
      </c>
      <c r="E193" s="4" t="inlineStr">
        <is>
          <t>Sede Urbana</t>
        </is>
      </c>
      <c r="F193" s="4" t="inlineStr">
        <is>
          <t>EMEF Centro</t>
        </is>
      </c>
      <c r="G193" s="4" t="inlineStr">
        <is>
          <t>M</t>
        </is>
      </c>
      <c r="H193" s="4" t="inlineStr"/>
      <c r="I193" s="4" t="inlineStr"/>
      <c r="J193" s="4" t="n">
        <v>-21.136972</v>
      </c>
      <c r="K193" s="4" t="n">
        <v>-47.815728</v>
      </c>
      <c r="L193" s="4" t="inlineStr">
        <is>
          <t>mora depois da ponte</t>
        </is>
      </c>
    </row>
    <row r="194">
      <c r="A194" s="5" t="inlineStr">
        <is>
          <t>2026186</t>
        </is>
      </c>
      <c r="B194" s="5" t="inlineStr">
        <is>
          <t xml:space="preserve">  Wesley Rodrigues </t>
        </is>
      </c>
      <c r="C194" s="5" t="inlineStr">
        <is>
          <t>Av. Central</t>
        </is>
      </c>
      <c r="D194" s="5" t="inlineStr">
        <is>
          <t>477</t>
        </is>
      </c>
      <c r="E194" s="5" t="inlineStr">
        <is>
          <t>Distrito Norte</t>
        </is>
      </c>
      <c r="F194" s="5" t="inlineStr">
        <is>
          <t>EMEF Centro</t>
        </is>
      </c>
      <c r="G194" s="5" t="inlineStr">
        <is>
          <t>M</t>
        </is>
      </c>
      <c r="H194" s="5" t="inlineStr"/>
      <c r="I194" s="5" t="inlineStr"/>
      <c r="J194" s="5" t="n">
        <v>-21.063298</v>
      </c>
      <c r="K194" s="5" t="n">
        <v>-47.790572</v>
      </c>
      <c r="L194" s="5" t="inlineStr"/>
    </row>
    <row r="195">
      <c r="A195" s="4" t="inlineStr">
        <is>
          <t>2026187</t>
        </is>
      </c>
      <c r="B195" s="4" t="inlineStr">
        <is>
          <t>Fábio Ferreira</t>
        </is>
      </c>
      <c r="C195" s="4" t="inlineStr">
        <is>
          <t>Rua das Acácias</t>
        </is>
      </c>
      <c r="D195" s="4" t="inlineStr">
        <is>
          <t>687</t>
        </is>
      </c>
      <c r="E195" s="4" t="inlineStr">
        <is>
          <t>Distrito Leste</t>
        </is>
      </c>
      <c r="F195" s="4" t="inlineStr">
        <is>
          <t>EMEF Centro</t>
        </is>
      </c>
      <c r="G195" s="4" t="inlineStr">
        <is>
          <t>T</t>
        </is>
      </c>
      <c r="H195" s="4" t="inlineStr"/>
      <c r="I195" s="4" t="inlineStr"/>
      <c r="J195" s="4" t="n">
        <v>-21.110829</v>
      </c>
      <c r="K195" s="4" t="n">
        <v>-47.747825</v>
      </c>
      <c r="L195" s="4" t="inlineStr">
        <is>
          <t>descer no ponto do vizinho</t>
        </is>
      </c>
    </row>
    <row r="196">
      <c r="A196" s="5" t="inlineStr">
        <is>
          <t>2026188</t>
        </is>
      </c>
      <c r="B196" s="5" t="inlineStr">
        <is>
          <t>João Oliveira</t>
        </is>
      </c>
      <c r="C196" s="5" t="inlineStr">
        <is>
          <t>Linha 3 do Assentamento</t>
        </is>
      </c>
      <c r="D196" s="5" t="inlineStr">
        <is>
          <t>194</t>
        </is>
      </c>
      <c r="E196" s="5" t="inlineStr">
        <is>
          <t>Vila Rural Sul</t>
        </is>
      </c>
      <c r="F196" s="5" t="inlineStr">
        <is>
          <t>EMEF Distrito Norte</t>
        </is>
      </c>
      <c r="G196" s="5" t="inlineStr">
        <is>
          <t>MAT</t>
        </is>
      </c>
      <c r="H196" s="5" t="inlineStr"/>
      <c r="I196" s="5" t="inlineStr"/>
      <c r="J196" s="5" t="n">
        <v>-21.180254</v>
      </c>
      <c r="K196" s="5" t="n">
        <v>-47.835314</v>
      </c>
      <c r="L196" s="5" t="inlineStr">
        <is>
          <t>porteira fechada, buzinar</t>
        </is>
      </c>
    </row>
    <row r="197">
      <c r="A197" s="4" t="inlineStr">
        <is>
          <t>2026189</t>
        </is>
      </c>
      <c r="B197" s="4" t="inlineStr">
        <is>
          <t>Karina Oliveira</t>
        </is>
      </c>
      <c r="C197" s="4" t="inlineStr">
        <is>
          <t>Estrada Municipal RM-040</t>
        </is>
      </c>
      <c r="D197" s="4" t="inlineStr">
        <is>
          <t>323</t>
        </is>
      </c>
      <c r="E197" s="4" t="inlineStr">
        <is>
          <t>Assent. Oeste</t>
        </is>
      </c>
      <c r="F197" s="4" t="inlineStr">
        <is>
          <t>EMEF Centro</t>
        </is>
      </c>
      <c r="G197" s="4" t="inlineStr">
        <is>
          <t>MAT</t>
        </is>
      </c>
      <c r="H197" s="4" t="inlineStr"/>
      <c r="I197" s="4" t="inlineStr"/>
      <c r="J197" s="4" t="n">
        <v>-21.146259</v>
      </c>
      <c r="K197" s="4" t="n">
        <v>-47.868368</v>
      </c>
      <c r="L197" s="4" t="inlineStr">
        <is>
          <t>porteira fechada, buzinar</t>
        </is>
      </c>
    </row>
    <row r="198">
      <c r="A198" s="5" t="inlineStr">
        <is>
          <t>2026190</t>
        </is>
      </c>
      <c r="B198" s="5" t="inlineStr">
        <is>
          <t>Nelson Silva</t>
        </is>
      </c>
      <c r="C198" s="5" t="inlineStr">
        <is>
          <t>Sítio Boa Vista</t>
        </is>
      </c>
      <c r="D198" s="5" t="inlineStr">
        <is>
          <t>s/n</t>
        </is>
      </c>
      <c r="E198" s="5" t="inlineStr">
        <is>
          <t>Sede Urbana</t>
        </is>
      </c>
      <c r="F198" s="5" t="inlineStr">
        <is>
          <t>EMEF Distrito Norte</t>
        </is>
      </c>
      <c r="G198" s="5" t="inlineStr">
        <is>
          <t>Tarde</t>
        </is>
      </c>
      <c r="H198" s="5" t="inlineStr"/>
      <c r="I198" s="5" t="inlineStr"/>
      <c r="J198" s="5" t="inlineStr"/>
      <c r="K198" s="5" t="inlineStr"/>
      <c r="L198" s="5" t="inlineStr"/>
    </row>
    <row r="199">
      <c r="A199" s="4" t="inlineStr">
        <is>
          <t>2026191</t>
        </is>
      </c>
      <c r="B199" s="4" t="inlineStr">
        <is>
          <t>Ana Nascimento</t>
        </is>
      </c>
      <c r="C199" s="4" t="inlineStr">
        <is>
          <t>Estrada Municipal RM-040</t>
        </is>
      </c>
      <c r="D199" s="4" t="inlineStr">
        <is>
          <t>557</t>
        </is>
      </c>
      <c r="E199" s="4" t="inlineStr">
        <is>
          <t>Distrito Norte</t>
        </is>
      </c>
      <c r="F199" s="4" t="inlineStr">
        <is>
          <t>EMEF Centro</t>
        </is>
      </c>
      <c r="G199" s="4" t="inlineStr">
        <is>
          <t>Manhã</t>
        </is>
      </c>
      <c r="H199" s="4" t="inlineStr"/>
      <c r="I199" s="4" t="inlineStr"/>
      <c r="J199" s="4" t="n">
        <v>-21.077263</v>
      </c>
      <c r="K199" s="4" t="n">
        <v>-47.780593</v>
      </c>
      <c r="L199" s="4" t="inlineStr"/>
    </row>
    <row r="200">
      <c r="A200" s="5" t="inlineStr">
        <is>
          <t>2026192</t>
        </is>
      </c>
      <c r="B200" s="5" t="inlineStr">
        <is>
          <t>Lucas Rodrigues</t>
        </is>
      </c>
      <c r="C200" s="5" t="inlineStr">
        <is>
          <t>Rua Projetada A</t>
        </is>
      </c>
      <c r="D200" s="5" t="inlineStr">
        <is>
          <t>476</t>
        </is>
      </c>
      <c r="E200" s="5" t="inlineStr">
        <is>
          <t>Distrito Leste</t>
        </is>
      </c>
      <c r="F200" s="5" t="inlineStr">
        <is>
          <t>EMEF Vila Rural Sul</t>
        </is>
      </c>
      <c r="G200" s="5" t="inlineStr">
        <is>
          <t>MAT</t>
        </is>
      </c>
      <c r="H200" s="5" t="inlineStr"/>
      <c r="I200" s="5" t="inlineStr"/>
      <c r="J200" s="5" t="n">
        <v>-21.121947</v>
      </c>
      <c r="K200" s="5" t="n">
        <v>-47.752021</v>
      </c>
      <c r="L200" s="5" t="inlineStr">
        <is>
          <t>mora depois da ponte</t>
        </is>
      </c>
    </row>
    <row r="201">
      <c r="A201" s="4" t="inlineStr">
        <is>
          <t>2026193</t>
        </is>
      </c>
      <c r="B201" s="4" t="inlineStr">
        <is>
          <t>Carla Silva</t>
        </is>
      </c>
      <c r="C201" s="4" t="inlineStr">
        <is>
          <t>Travessa São José</t>
        </is>
      </c>
      <c r="D201" s="4" t="inlineStr">
        <is>
          <t>730</t>
        </is>
      </c>
      <c r="E201" s="4" t="inlineStr">
        <is>
          <t>Vila Rural Sul</t>
        </is>
      </c>
      <c r="F201" s="4" t="inlineStr">
        <is>
          <t>EMEF Distrito Norte</t>
        </is>
      </c>
      <c r="G201" s="4" t="inlineStr">
        <is>
          <t>Tarde</t>
        </is>
      </c>
      <c r="H201" s="4" t="inlineStr"/>
      <c r="I201" s="4" t="inlineStr">
        <is>
          <t>sim</t>
        </is>
      </c>
      <c r="J201" s="4" t="n">
        <v>-21.244282</v>
      </c>
      <c r="K201" s="4" t="n">
        <v>-47.819183</v>
      </c>
      <c r="L201" s="4" t="inlineStr"/>
    </row>
    <row r="202">
      <c r="A202" s="5" t="inlineStr">
        <is>
          <t>2026194</t>
        </is>
      </c>
      <c r="B202" s="5" t="inlineStr">
        <is>
          <t>Lucas Nascimento</t>
        </is>
      </c>
      <c r="C202" s="5" t="inlineStr">
        <is>
          <t>Av. Central</t>
        </is>
      </c>
      <c r="D202" s="5" t="inlineStr">
        <is>
          <t>776</t>
        </is>
      </c>
      <c r="E202" s="5" t="inlineStr">
        <is>
          <t>Assent. Oeste</t>
        </is>
      </c>
      <c r="F202" s="5" t="inlineStr">
        <is>
          <t>EMEF Centro</t>
        </is>
      </c>
      <c r="G202" s="5" t="inlineStr">
        <is>
          <t>Manhã</t>
        </is>
      </c>
      <c r="H202" s="5" t="inlineStr"/>
      <c r="I202" s="5" t="inlineStr"/>
      <c r="J202" s="5" t="n">
        <v>-13.15646</v>
      </c>
      <c r="K202" s="5" t="n">
        <v>-47.87554</v>
      </c>
      <c r="L202" s="5" t="inlineStr"/>
    </row>
    <row r="203">
      <c r="A203" s="4" t="inlineStr">
        <is>
          <t>2026195</t>
        </is>
      </c>
      <c r="B203" s="4" t="inlineStr">
        <is>
          <t>Úrsula Ferreira</t>
        </is>
      </c>
      <c r="C203" s="4" t="inlineStr">
        <is>
          <t>Av. Central</t>
        </is>
      </c>
      <c r="D203" s="4" t="inlineStr">
        <is>
          <t>s/n</t>
        </is>
      </c>
      <c r="E203" s="4" t="inlineStr">
        <is>
          <t>Sede Urbana</t>
        </is>
      </c>
      <c r="F203" s="4" t="inlineStr">
        <is>
          <t>EMEF Vila Rural Sul</t>
        </is>
      </c>
      <c r="G203" s="4" t="inlineStr">
        <is>
          <t>MAT</t>
        </is>
      </c>
      <c r="H203" s="4" t="inlineStr"/>
      <c r="I203" s="4" t="inlineStr"/>
      <c r="J203" s="4" t="inlineStr"/>
      <c r="K203" s="4" t="inlineStr"/>
      <c r="L203" s="4" t="inlineStr"/>
    </row>
    <row r="204">
      <c r="A204" s="5" t="inlineStr">
        <is>
          <t>2026196</t>
        </is>
      </c>
      <c r="B204" s="5" t="inlineStr">
        <is>
          <t>João Ferreira</t>
        </is>
      </c>
      <c r="C204" s="5" t="inlineStr">
        <is>
          <t>Estrada Municipal RM-040</t>
        </is>
      </c>
      <c r="D204" s="5" t="inlineStr">
        <is>
          <t>184</t>
        </is>
      </c>
      <c r="E204" s="5" t="inlineStr">
        <is>
          <t>Distrito Norte</t>
        </is>
      </c>
      <c r="F204" s="5" t="inlineStr">
        <is>
          <t>EMEF Centro</t>
        </is>
      </c>
      <c r="G204" s="5" t="inlineStr">
        <is>
          <t xml:space="preserve">tarde </t>
        </is>
      </c>
      <c r="H204" s="5" t="inlineStr"/>
      <c r="I204" s="5" t="inlineStr"/>
      <c r="J204" s="5" t="n">
        <v>-21.105023</v>
      </c>
      <c r="K204" s="5" t="n">
        <v>-47.795458</v>
      </c>
      <c r="L204" s="5" t="inlineStr">
        <is>
          <t>mora depois da ponte</t>
        </is>
      </c>
    </row>
    <row r="205">
      <c r="A205" s="4" t="inlineStr">
        <is>
          <t>2026197</t>
        </is>
      </c>
      <c r="B205" s="4" t="inlineStr">
        <is>
          <t>Úrsula Ferreira</t>
        </is>
      </c>
      <c r="C205" s="4" t="inlineStr">
        <is>
          <t>Travessa São José</t>
        </is>
      </c>
      <c r="D205" s="4" t="inlineStr">
        <is>
          <t>s/n</t>
        </is>
      </c>
      <c r="E205" s="4" t="inlineStr">
        <is>
          <t>Distrito Leste</t>
        </is>
      </c>
      <c r="F205" s="4" t="inlineStr">
        <is>
          <t>EMEF Centro</t>
        </is>
      </c>
      <c r="G205" s="4" t="inlineStr">
        <is>
          <t>Vespertino</t>
        </is>
      </c>
      <c r="H205" s="4" t="inlineStr"/>
      <c r="I205" s="4" t="inlineStr"/>
      <c r="J205" s="4" t="inlineStr"/>
      <c r="K205" s="4" t="inlineStr"/>
      <c r="L205" s="4" t="inlineStr">
        <is>
          <t>porteira fechada, buzinar</t>
        </is>
      </c>
    </row>
    <row r="206">
      <c r="A206" s="5" t="inlineStr">
        <is>
          <t>2026198</t>
        </is>
      </c>
      <c r="B206" s="5" t="inlineStr">
        <is>
          <t>Elis Costa</t>
        </is>
      </c>
      <c r="C206" s="5" t="inlineStr">
        <is>
          <t>Rua das Acácias</t>
        </is>
      </c>
      <c r="D206" s="5" t="inlineStr">
        <is>
          <t>342</t>
        </is>
      </c>
      <c r="E206" s="5" t="inlineStr">
        <is>
          <t>Vila Rural Sul</t>
        </is>
      </c>
      <c r="F206" s="5" t="inlineStr">
        <is>
          <t>EMEF Vila Rural Sul</t>
        </is>
      </c>
      <c r="G206" s="5" t="inlineStr">
        <is>
          <t>Tarde</t>
        </is>
      </c>
      <c r="H206" s="5" t="inlineStr">
        <is>
          <t>SIM</t>
        </is>
      </c>
      <c r="I206" s="5" t="inlineStr"/>
      <c r="J206" s="5" t="n">
        <v>-21.23282</v>
      </c>
      <c r="K206" s="5" t="n">
        <v>-47.818372</v>
      </c>
      <c r="L206" s="5" t="inlineStr">
        <is>
          <t>mora depois da ponte</t>
        </is>
      </c>
    </row>
    <row r="207">
      <c r="A207" s="4" t="inlineStr">
        <is>
          <t>2026199</t>
        </is>
      </c>
      <c r="B207" s="4" t="inlineStr">
        <is>
          <t>Lucas Almeida</t>
        </is>
      </c>
      <c r="C207" s="4" t="inlineStr">
        <is>
          <t>Av. Central</t>
        </is>
      </c>
      <c r="D207" s="4" t="inlineStr">
        <is>
          <t>774</t>
        </is>
      </c>
      <c r="E207" s="4" t="inlineStr">
        <is>
          <t>Assent. Oeste</t>
        </is>
      </c>
      <c r="F207" s="4" t="inlineStr">
        <is>
          <t>EMEF Distrito Norte</t>
        </is>
      </c>
      <c r="G207" s="4" t="inlineStr">
        <is>
          <t>manha</t>
        </is>
      </c>
      <c r="H207" s="4" t="inlineStr"/>
      <c r="I207" s="4" t="inlineStr"/>
      <c r="J207" s="4" t="n">
        <v>-21.181698</v>
      </c>
      <c r="K207" s="4" t="n">
        <v>-47.890013</v>
      </c>
      <c r="L207" s="4" t="inlineStr">
        <is>
          <t>mora depois da ponte</t>
        </is>
      </c>
    </row>
    <row r="208">
      <c r="A208" s="5" t="inlineStr">
        <is>
          <t>2026200</t>
        </is>
      </c>
      <c r="B208" s="5" t="inlineStr">
        <is>
          <t>Carla Araújo</t>
        </is>
      </c>
      <c r="C208" s="5" t="inlineStr">
        <is>
          <t>Sítio Boa Vista</t>
        </is>
      </c>
      <c r="D208" s="5" t="inlineStr">
        <is>
          <t>s/n</t>
        </is>
      </c>
      <c r="E208" s="5" t="inlineStr">
        <is>
          <t>Sede Urbana</t>
        </is>
      </c>
      <c r="F208" s="5" t="inlineStr">
        <is>
          <t>EMEF Vila Rural Sul</t>
        </is>
      </c>
      <c r="G208" s="5" t="inlineStr">
        <is>
          <t>M</t>
        </is>
      </c>
      <c r="H208" s="5" t="inlineStr"/>
      <c r="I208" s="5" t="inlineStr"/>
      <c r="J208" s="5" t="inlineStr"/>
      <c r="K208" s="5" t="inlineStr"/>
      <c r="L208" s="5" t="inlineStr">
        <is>
          <t>mora depois da ponte</t>
        </is>
      </c>
    </row>
    <row r="209">
      <c r="A209" s="4" t="inlineStr">
        <is>
          <t>2026201</t>
        </is>
      </c>
      <c r="B209" s="4" t="inlineStr">
        <is>
          <t>Carla Pereira</t>
        </is>
      </c>
      <c r="C209" s="4" t="inlineStr">
        <is>
          <t>Estrada Municipal RM-040</t>
        </is>
      </c>
      <c r="D209" s="4" t="inlineStr">
        <is>
          <t>162</t>
        </is>
      </c>
      <c r="E209" s="4" t="inlineStr">
        <is>
          <t>Distrito Norte</t>
        </is>
      </c>
      <c r="F209" s="4" t="inlineStr">
        <is>
          <t>EMEF Distrito Norte</t>
        </is>
      </c>
      <c r="G209" s="4" t="inlineStr">
        <is>
          <t>Vespertino</t>
        </is>
      </c>
      <c r="H209" s="4" t="inlineStr"/>
      <c r="I209" s="4" t="inlineStr"/>
      <c r="J209" s="4" t="n">
        <v>-21.072482</v>
      </c>
      <c r="K209" s="4" t="n">
        <v>-47.798622</v>
      </c>
      <c r="L209" s="4" t="inlineStr"/>
    </row>
    <row r="210">
      <c r="A210" s="5" t="inlineStr">
        <is>
          <t>2026202</t>
        </is>
      </c>
      <c r="B210" s="5" t="inlineStr">
        <is>
          <t>Úrsula Costa</t>
        </is>
      </c>
      <c r="C210" s="5" t="inlineStr">
        <is>
          <t>Estrada do Assentamento</t>
        </is>
      </c>
      <c r="D210" s="5" t="inlineStr">
        <is>
          <t>280</t>
        </is>
      </c>
      <c r="E210" s="5" t="inlineStr">
        <is>
          <t>Distrito Leste</t>
        </is>
      </c>
      <c r="F210" s="5" t="inlineStr">
        <is>
          <t>EMEF Centro</t>
        </is>
      </c>
      <c r="G210" s="5" t="inlineStr">
        <is>
          <t>Manhã</t>
        </is>
      </c>
      <c r="H210" s="5" t="inlineStr"/>
      <c r="I210" s="5" t="inlineStr"/>
      <c r="J210" s="5" t="n">
        <v>-21.157262</v>
      </c>
      <c r="K210" s="5" t="n">
        <v>-47.722296</v>
      </c>
      <c r="L210" s="5" t="inlineStr">
        <is>
          <t>descer no ponto do vizinho</t>
        </is>
      </c>
    </row>
    <row r="211">
      <c r="A211" s="4" t="inlineStr">
        <is>
          <t>2026203</t>
        </is>
      </c>
      <c r="B211" s="4" t="inlineStr">
        <is>
          <t>Marina Pereira</t>
        </is>
      </c>
      <c r="C211" s="4" t="inlineStr">
        <is>
          <t>Sítio Boa Vista</t>
        </is>
      </c>
      <c r="D211" s="4" t="inlineStr">
        <is>
          <t>669</t>
        </is>
      </c>
      <c r="E211" s="4" t="inlineStr">
        <is>
          <t>Vila Rural Sul</t>
        </is>
      </c>
      <c r="F211" s="4" t="inlineStr">
        <is>
          <t>EMEF Vila Rural Sul</t>
        </is>
      </c>
      <c r="G211" s="4" t="inlineStr">
        <is>
          <t>MAT</t>
        </is>
      </c>
      <c r="H211" s="4" t="inlineStr"/>
      <c r="I211" s="4" t="inlineStr"/>
      <c r="J211" s="4" t="n">
        <v>-21.19354</v>
      </c>
      <c r="K211" s="4" t="n">
        <v>-47.83354</v>
      </c>
      <c r="L211" s="4" t="inlineStr">
        <is>
          <t>porteira fechada, buzinar</t>
        </is>
      </c>
    </row>
    <row r="212">
      <c r="A212" s="5" t="inlineStr">
        <is>
          <t>2026204</t>
        </is>
      </c>
      <c r="B212" s="5" t="inlineStr">
        <is>
          <t>Carla Araújo</t>
        </is>
      </c>
      <c r="C212" s="5" t="inlineStr">
        <is>
          <t>Estrada Municipal RM-040</t>
        </is>
      </c>
      <c r="D212" s="5" t="inlineStr">
        <is>
          <t>47</t>
        </is>
      </c>
      <c r="E212" s="5" t="inlineStr">
        <is>
          <t>Assent. Oeste</t>
        </is>
      </c>
      <c r="F212" s="5" t="inlineStr">
        <is>
          <t>EMEF Distrito Norte</t>
        </is>
      </c>
      <c r="G212" s="5" t="inlineStr">
        <is>
          <t>T</t>
        </is>
      </c>
      <c r="H212" s="5" t="inlineStr"/>
      <c r="I212" s="5" t="inlineStr"/>
      <c r="J212" s="5" t="n">
        <v>-21.204597</v>
      </c>
      <c r="K212" s="5" t="n">
        <v>-47.858824</v>
      </c>
      <c r="L212" s="5" t="inlineStr">
        <is>
          <t>porteira fechada, buzinar</t>
        </is>
      </c>
    </row>
    <row r="213">
      <c r="A213" s="4" t="inlineStr">
        <is>
          <t>2026205</t>
        </is>
      </c>
      <c r="B213" s="4" t="inlineStr">
        <is>
          <t>Gabriela Martins</t>
        </is>
      </c>
      <c r="C213" s="4" t="inlineStr">
        <is>
          <t>Estrada Municipal RM-040</t>
        </is>
      </c>
      <c r="D213" s="4" t="inlineStr">
        <is>
          <t>748</t>
        </is>
      </c>
      <c r="E213" s="4" t="inlineStr">
        <is>
          <t>Sede Urbana</t>
        </is>
      </c>
      <c r="F213" s="4" t="inlineStr">
        <is>
          <t>EMEF Distrito Norte</t>
        </is>
      </c>
      <c r="G213" s="4" t="inlineStr">
        <is>
          <t>MAT</t>
        </is>
      </c>
      <c r="H213" s="4" t="inlineStr"/>
      <c r="I213" s="4" t="inlineStr"/>
      <c r="J213" s="4" t="n">
        <v>-21.137197</v>
      </c>
      <c r="K213" s="4" t="n">
        <v>-47.804996</v>
      </c>
      <c r="L213" s="4" t="inlineStr">
        <is>
          <t>estrada ruim em dia de chuva</t>
        </is>
      </c>
    </row>
    <row r="214">
      <c r="A214" s="5" t="inlineStr">
        <is>
          <t>2026206</t>
        </is>
      </c>
      <c r="B214" s="5" t="inlineStr">
        <is>
          <t>Marina Nascimento</t>
        </is>
      </c>
      <c r="C214" s="5" t="inlineStr">
        <is>
          <t>Estrada Municipal RM-040</t>
        </is>
      </c>
      <c r="D214" s="5" t="inlineStr">
        <is>
          <t>715</t>
        </is>
      </c>
      <c r="E214" s="5" t="inlineStr">
        <is>
          <t>Distrito Norte</t>
        </is>
      </c>
      <c r="F214" s="5" t="inlineStr">
        <is>
          <t>EMEF Distrito Norte</t>
        </is>
      </c>
      <c r="G214" s="5" t="inlineStr">
        <is>
          <t>Vespertino</t>
        </is>
      </c>
      <c r="H214" s="5" t="inlineStr"/>
      <c r="I214" s="5" t="inlineStr"/>
      <c r="J214" s="5" t="n">
        <v>-21.064866</v>
      </c>
      <c r="K214" s="5" t="n">
        <v>-47.791276</v>
      </c>
      <c r="L214" s="5" t="inlineStr"/>
    </row>
    <row r="215">
      <c r="A215" s="4" t="inlineStr">
        <is>
          <t>2026207</t>
        </is>
      </c>
      <c r="B215" s="4" t="inlineStr">
        <is>
          <t>ANA OLIVEIRA</t>
        </is>
      </c>
      <c r="C215" s="4" t="inlineStr">
        <is>
          <t>Travessa São José</t>
        </is>
      </c>
      <c r="D215" s="4" t="inlineStr">
        <is>
          <t>842</t>
        </is>
      </c>
      <c r="E215" s="4" t="inlineStr">
        <is>
          <t>Distrito Leste</t>
        </is>
      </c>
      <c r="F215" s="4" t="inlineStr">
        <is>
          <t>EMEF Vila Rural Sul</t>
        </is>
      </c>
      <c r="G215" s="4" t="inlineStr">
        <is>
          <t>Manhã</t>
        </is>
      </c>
      <c r="H215" s="4" t="inlineStr"/>
      <c r="I215" s="4" t="inlineStr"/>
      <c r="J215" s="4" t="n">
        <v>-21.155751</v>
      </c>
      <c r="K215" s="4" t="n">
        <v>-47.731086</v>
      </c>
      <c r="L215" s="4" t="inlineStr">
        <is>
          <t>descer no ponto do vizinho</t>
        </is>
      </c>
    </row>
    <row r="216">
      <c r="A216" s="5" t="inlineStr">
        <is>
          <t>2026208</t>
        </is>
      </c>
      <c r="B216" s="5" t="inlineStr">
        <is>
          <t>Tiago Ribeiro</t>
        </is>
      </c>
      <c r="C216" s="5" t="inlineStr">
        <is>
          <t>Sítio Boa Vista</t>
        </is>
      </c>
      <c r="D216" s="5" t="inlineStr">
        <is>
          <t>530</t>
        </is>
      </c>
      <c r="E216" s="5" t="inlineStr">
        <is>
          <t>Vila Rural Sul</t>
        </is>
      </c>
      <c r="F216" s="5" t="inlineStr">
        <is>
          <t>EMEF Vila Rural Sul</t>
        </is>
      </c>
      <c r="G216" s="5" t="inlineStr">
        <is>
          <t xml:space="preserve">tarde </t>
        </is>
      </c>
      <c r="H216" s="5" t="inlineStr"/>
      <c r="I216" s="5" t="inlineStr"/>
      <c r="J216" s="5" t="n">
        <v>-21.212369</v>
      </c>
      <c r="K216" s="5" t="n">
        <v>-47.809862</v>
      </c>
      <c r="L216" s="5" t="inlineStr">
        <is>
          <t>mora depois da ponte</t>
        </is>
      </c>
    </row>
    <row r="217">
      <c r="A217" s="4" t="inlineStr">
        <is>
          <t>2026209</t>
        </is>
      </c>
      <c r="B217" s="4" t="inlineStr">
        <is>
          <t>Vinícius Souza</t>
        </is>
      </c>
      <c r="C217" s="4" t="inlineStr">
        <is>
          <t>Travessa São José</t>
        </is>
      </c>
      <c r="D217" s="4" t="inlineStr">
        <is>
          <t>325</t>
        </is>
      </c>
      <c r="E217" s="4" t="inlineStr">
        <is>
          <t>Assent. Oeste</t>
        </is>
      </c>
      <c r="F217" s="4" t="inlineStr">
        <is>
          <t>EMEF Distrito Norte</t>
        </is>
      </c>
      <c r="G217" s="4" t="inlineStr">
        <is>
          <t>T</t>
        </is>
      </c>
      <c r="H217" s="4" t="inlineStr"/>
      <c r="I217" s="4" t="inlineStr">
        <is>
          <t>sim</t>
        </is>
      </c>
      <c r="J217" s="4" t="n">
        <v>-21.173328</v>
      </c>
      <c r="K217" s="4" t="n">
        <v>-47.855492</v>
      </c>
      <c r="L217" s="4" t="inlineStr">
        <is>
          <t>estrada ruim em dia de chuva</t>
        </is>
      </c>
    </row>
    <row r="218">
      <c r="A218" s="5" t="inlineStr">
        <is>
          <t>2026210</t>
        </is>
      </c>
      <c r="B218" s="5" t="inlineStr">
        <is>
          <t>Lucas Ribeiro</t>
        </is>
      </c>
      <c r="C218" s="5" t="inlineStr">
        <is>
          <t>Sítio Boa Vista</t>
        </is>
      </c>
      <c r="D218" s="5" t="inlineStr">
        <is>
          <t>501</t>
        </is>
      </c>
      <c r="E218" s="5" t="inlineStr">
        <is>
          <t>Sede Urbana</t>
        </is>
      </c>
      <c r="F218" s="5" t="inlineStr">
        <is>
          <t>EMEF Centro</t>
        </is>
      </c>
      <c r="G218" s="5" t="inlineStr">
        <is>
          <t xml:space="preserve">tarde </t>
        </is>
      </c>
      <c r="H218" s="5" t="inlineStr"/>
      <c r="I218" s="5" t="inlineStr"/>
      <c r="J218" s="5" t="n">
        <v>-21.148948</v>
      </c>
      <c r="K218" s="5" t="n">
        <v>-47.785172</v>
      </c>
      <c r="L218" s="5" t="inlineStr">
        <is>
          <t>mora depois da ponte</t>
        </is>
      </c>
    </row>
    <row r="219">
      <c r="A219" s="4" t="inlineStr">
        <is>
          <t>2026211</t>
        </is>
      </c>
      <c r="B219" s="4" t="inlineStr">
        <is>
          <t>Fábio Costa</t>
        </is>
      </c>
      <c r="C219" s="4" t="inlineStr">
        <is>
          <t>Linha 3 do Assentamento</t>
        </is>
      </c>
      <c r="D219" s="4" t="inlineStr">
        <is>
          <t>s/n</t>
        </is>
      </c>
      <c r="E219" s="4" t="inlineStr">
        <is>
          <t>Distrito Norte</t>
        </is>
      </c>
      <c r="F219" s="4" t="inlineStr">
        <is>
          <t>EMEF Distrito Norte</t>
        </is>
      </c>
      <c r="G219" s="4" t="inlineStr">
        <is>
          <t>MAT</t>
        </is>
      </c>
      <c r="H219" s="4" t="inlineStr"/>
      <c r="I219" s="4" t="inlineStr"/>
      <c r="J219" s="4" t="inlineStr"/>
      <c r="K219" s="4" t="inlineStr"/>
      <c r="L219" s="4" t="inlineStr"/>
    </row>
    <row r="220">
      <c r="A220" s="5" t="inlineStr">
        <is>
          <t>2026212</t>
        </is>
      </c>
      <c r="B220" s="5" t="inlineStr">
        <is>
          <t>Nelson Gomes</t>
        </is>
      </c>
      <c r="C220" s="5" t="inlineStr">
        <is>
          <t>Estrada do Assentamento</t>
        </is>
      </c>
      <c r="D220" s="5" t="inlineStr">
        <is>
          <t>581</t>
        </is>
      </c>
      <c r="E220" s="5" t="inlineStr">
        <is>
          <t>Distrito Leste</t>
        </is>
      </c>
      <c r="F220" s="5" t="inlineStr">
        <is>
          <t>EMEF Centro</t>
        </is>
      </c>
      <c r="G220" s="5" t="inlineStr">
        <is>
          <t xml:space="preserve">tarde </t>
        </is>
      </c>
      <c r="H220" s="5" t="inlineStr"/>
      <c r="I220" s="5" t="inlineStr"/>
      <c r="J220" s="5" t="n">
        <v>-21.118187</v>
      </c>
      <c r="K220" s="5" t="n">
        <v>-47.744555</v>
      </c>
      <c r="L220" s="5" t="inlineStr"/>
    </row>
    <row r="221">
      <c r="A221" s="4" t="inlineStr">
        <is>
          <t>2026213</t>
        </is>
      </c>
      <c r="B221" s="4" t="inlineStr">
        <is>
          <t>Gabriela Ribeiro</t>
        </is>
      </c>
      <c r="C221" s="4" t="inlineStr">
        <is>
          <t>Rua das Acácias</t>
        </is>
      </c>
      <c r="D221" s="4" t="inlineStr">
        <is>
          <t>487</t>
        </is>
      </c>
      <c r="E221" s="4" t="inlineStr">
        <is>
          <t>Vila Rural Sul</t>
        </is>
      </c>
      <c r="F221" s="4" t="inlineStr">
        <is>
          <t>EMEF Distrito Norte</t>
        </is>
      </c>
      <c r="G221" s="4" t="inlineStr">
        <is>
          <t xml:space="preserve">tarde </t>
        </is>
      </c>
      <c r="H221" s="4" t="inlineStr"/>
      <c r="I221" s="4" t="inlineStr"/>
      <c r="J221" s="4" t="n">
        <v>-21.227103</v>
      </c>
      <c r="K221" s="4" t="n">
        <v>-47.849227</v>
      </c>
      <c r="L221" s="4" t="inlineStr">
        <is>
          <t>estrada ruim em dia de chuva</t>
        </is>
      </c>
    </row>
    <row r="222">
      <c r="A222" s="5" t="inlineStr">
        <is>
          <t>2026214</t>
        </is>
      </c>
      <c r="B222" s="5" t="inlineStr">
        <is>
          <t>Wesley Costa</t>
        </is>
      </c>
      <c r="C222" s="5" t="inlineStr">
        <is>
          <t>Sítio Boa Vista</t>
        </is>
      </c>
      <c r="D222" s="5" t="inlineStr">
        <is>
          <t>597</t>
        </is>
      </c>
      <c r="E222" s="5" t="inlineStr">
        <is>
          <t>Assent. Oeste</t>
        </is>
      </c>
      <c r="F222" s="5" t="inlineStr">
        <is>
          <t>EMEF Vila Rural Sul</t>
        </is>
      </c>
      <c r="G222" s="5" t="inlineStr">
        <is>
          <t>manha</t>
        </is>
      </c>
      <c r="H222" s="5" t="inlineStr">
        <is>
          <t>não</t>
        </is>
      </c>
      <c r="I222" s="5" t="inlineStr"/>
      <c r="J222" s="5" t="n">
        <v>-21.163056</v>
      </c>
      <c r="K222" s="5" t="n">
        <v>-47.922653</v>
      </c>
      <c r="L222" s="5" t="inlineStr">
        <is>
          <t>família mudou de endereço</t>
        </is>
      </c>
    </row>
    <row r="223">
      <c r="A223" s="4" t="inlineStr">
        <is>
          <t>2026215</t>
        </is>
      </c>
      <c r="B223" s="4" t="inlineStr">
        <is>
          <t>Gabriela Oliveira</t>
        </is>
      </c>
      <c r="C223" s="4" t="inlineStr">
        <is>
          <t>Estrada Municipal RM-040</t>
        </is>
      </c>
      <c r="D223" s="4" t="inlineStr">
        <is>
          <t>322</t>
        </is>
      </c>
      <c r="E223" s="4" t="inlineStr">
        <is>
          <t>Sede Urbana</t>
        </is>
      </c>
      <c r="F223" s="4" t="inlineStr">
        <is>
          <t>EMEF Centro</t>
        </is>
      </c>
      <c r="G223" s="4" t="inlineStr">
        <is>
          <t>Tarde</t>
        </is>
      </c>
      <c r="H223" s="4" t="inlineStr"/>
      <c r="I223" s="4" t="inlineStr"/>
      <c r="J223" s="4" t="n">
        <v>-21.133647</v>
      </c>
      <c r="K223" s="4" t="n">
        <v>-47.786601</v>
      </c>
      <c r="L223" s="4" t="inlineStr"/>
    </row>
    <row r="224">
      <c r="A224" s="5" t="inlineStr">
        <is>
          <t>2026216</t>
        </is>
      </c>
      <c r="B224" s="5" t="inlineStr">
        <is>
          <t>Karina Ferreira</t>
        </is>
      </c>
      <c r="C224" s="5" t="inlineStr">
        <is>
          <t>Sítio Boa Vista</t>
        </is>
      </c>
      <c r="D224" s="5" t="inlineStr">
        <is>
          <t>415</t>
        </is>
      </c>
      <c r="E224" s="5" t="inlineStr">
        <is>
          <t>Distrito Norte</t>
        </is>
      </c>
      <c r="F224" s="5" t="inlineStr">
        <is>
          <t>EMEF Distrito Norte</t>
        </is>
      </c>
      <c r="G224" s="5" t="inlineStr">
        <is>
          <t>Tarde</t>
        </is>
      </c>
      <c r="H224" s="5" t="inlineStr"/>
      <c r="I224" s="5" t="inlineStr"/>
      <c r="J224" s="5" t="n">
        <v>-21.081907</v>
      </c>
      <c r="K224" s="5" t="n">
        <v>-47.772819</v>
      </c>
      <c r="L224" s="5" t="inlineStr">
        <is>
          <t>descer no ponto do vizinho</t>
        </is>
      </c>
    </row>
    <row r="225">
      <c r="A225" s="4" t="inlineStr">
        <is>
          <t>2026217</t>
        </is>
      </c>
      <c r="B225" s="4" t="inlineStr">
        <is>
          <t xml:space="preserve">  Gabriela Oliveira </t>
        </is>
      </c>
      <c r="C225" s="4" t="inlineStr">
        <is>
          <t>Travessa São José</t>
        </is>
      </c>
      <c r="D225" s="4" t="inlineStr">
        <is>
          <t>140</t>
        </is>
      </c>
      <c r="E225" s="4" t="inlineStr">
        <is>
          <t>Distrito Leste</t>
        </is>
      </c>
      <c r="F225" s="4" t="inlineStr">
        <is>
          <t>EMEF Vila Rural Sul</t>
        </is>
      </c>
      <c r="G225" s="4" t="inlineStr">
        <is>
          <t xml:space="preserve">tarde </t>
        </is>
      </c>
      <c r="H225" s="4" t="inlineStr"/>
      <c r="I225" s="4" t="inlineStr"/>
      <c r="J225" s="4" t="n">
        <v>-21.162758</v>
      </c>
      <c r="K225" s="4" t="n">
        <v>-47.7026</v>
      </c>
      <c r="L225" s="4" t="inlineStr">
        <is>
          <t>descer no ponto do vizinho</t>
        </is>
      </c>
    </row>
    <row r="226">
      <c r="A226" s="5" t="inlineStr">
        <is>
          <t>2026218</t>
        </is>
      </c>
      <c r="B226" s="5" t="inlineStr">
        <is>
          <t>Ivone Costa</t>
        </is>
      </c>
      <c r="C226" s="5" t="inlineStr">
        <is>
          <t>Rua das Acácias</t>
        </is>
      </c>
      <c r="D226" s="5" t="inlineStr">
        <is>
          <t>s/n</t>
        </is>
      </c>
      <c r="E226" s="5" t="inlineStr">
        <is>
          <t>Vila Rural Sul</t>
        </is>
      </c>
      <c r="F226" s="5" t="inlineStr">
        <is>
          <t>EMEF Distrito Norte</t>
        </is>
      </c>
      <c r="G226" s="5" t="inlineStr">
        <is>
          <t>M</t>
        </is>
      </c>
      <c r="H226" s="5" t="inlineStr"/>
      <c r="I226" s="5" t="inlineStr"/>
      <c r="J226" s="5" t="inlineStr"/>
      <c r="K226" s="5" t="inlineStr"/>
      <c r="L226" s="5" t="inlineStr">
        <is>
          <t>mora depois da ponte</t>
        </is>
      </c>
    </row>
    <row r="227">
      <c r="A227" s="4" t="inlineStr">
        <is>
          <t>2026219</t>
        </is>
      </c>
      <c r="B227" s="4" t="inlineStr">
        <is>
          <t>Ivone Oliveira</t>
        </is>
      </c>
      <c r="C227" s="4" t="inlineStr">
        <is>
          <t>Rua Projetada A</t>
        </is>
      </c>
      <c r="D227" s="4" t="inlineStr">
        <is>
          <t>850</t>
        </is>
      </c>
      <c r="E227" s="4" t="inlineStr">
        <is>
          <t>Assent. Oeste</t>
        </is>
      </c>
      <c r="F227" s="4" t="inlineStr">
        <is>
          <t>EMEF Centro</t>
        </is>
      </c>
      <c r="G227" s="4" t="inlineStr">
        <is>
          <t>Tarde</t>
        </is>
      </c>
      <c r="H227" s="4" t="inlineStr"/>
      <c r="I227" s="4" t="inlineStr"/>
      <c r="J227" s="4" t="n">
        <v>-21.185269</v>
      </c>
      <c r="K227" s="4" t="n">
        <v>-47.850504</v>
      </c>
      <c r="L227" s="4" t="inlineStr"/>
    </row>
    <row r="228">
      <c r="A228" s="5" t="inlineStr">
        <is>
          <t>2026220</t>
        </is>
      </c>
      <c r="B228" s="5" t="inlineStr">
        <is>
          <t>Queila Ribeiro</t>
        </is>
      </c>
      <c r="C228" s="5" t="inlineStr">
        <is>
          <t>Travessa São José</t>
        </is>
      </c>
      <c r="D228" s="5" t="inlineStr">
        <is>
          <t>817</t>
        </is>
      </c>
      <c r="E228" s="5" t="inlineStr">
        <is>
          <t>Sede Urbana</t>
        </is>
      </c>
      <c r="F228" s="5" t="inlineStr">
        <is>
          <t>EMEF Distrito Norte</t>
        </is>
      </c>
      <c r="G228" s="5" t="inlineStr">
        <is>
          <t>Tarde</t>
        </is>
      </c>
      <c r="H228" s="5" t="inlineStr">
        <is>
          <t>-</t>
        </is>
      </c>
      <c r="I228" s="5" t="inlineStr"/>
      <c r="J228" s="5" t="n">
        <v>-21.149657</v>
      </c>
      <c r="K228" s="5" t="n">
        <v>-47.795052</v>
      </c>
      <c r="L228" s="5" t="inlineStr"/>
    </row>
    <row r="229">
      <c r="A229" s="4" t="inlineStr"/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</row>
    <row r="230">
      <c r="A230" s="5" t="inlineStr">
        <is>
          <t>2026221</t>
        </is>
      </c>
      <c r="B230" s="5" t="inlineStr">
        <is>
          <t>Karina Araújo</t>
        </is>
      </c>
      <c r="C230" s="5" t="inlineStr">
        <is>
          <t>Estrada do Assentamento</t>
        </is>
      </c>
      <c r="D230" s="5" t="inlineStr">
        <is>
          <t>140</t>
        </is>
      </c>
      <c r="E230" s="5" t="inlineStr">
        <is>
          <t>Distrito Norte</t>
        </is>
      </c>
      <c r="F230" s="5" t="inlineStr">
        <is>
          <t>EMEF Distrito Norte</t>
        </is>
      </c>
      <c r="G230" s="5" t="inlineStr">
        <is>
          <t>manha</t>
        </is>
      </c>
      <c r="H230" s="5" t="inlineStr"/>
      <c r="I230" s="5" t="inlineStr"/>
      <c r="J230" s="5" t="n">
        <v>-21.109841</v>
      </c>
      <c r="K230" s="5" t="n">
        <v>-47.760972</v>
      </c>
      <c r="L230" s="5" t="inlineStr">
        <is>
          <t>porteira fechada, buzinar</t>
        </is>
      </c>
    </row>
    <row r="231">
      <c r="A231" s="4" t="inlineStr">
        <is>
          <t>2026222</t>
        </is>
      </c>
      <c r="B231" s="4" t="inlineStr">
        <is>
          <t>Úrsula Oliveira</t>
        </is>
      </c>
      <c r="C231" s="4" t="inlineStr">
        <is>
          <t>Sítio Boa Vista</t>
        </is>
      </c>
      <c r="D231" s="4" t="inlineStr">
        <is>
          <t>185</t>
        </is>
      </c>
      <c r="E231" s="4" t="inlineStr">
        <is>
          <t>Distrito Leste</t>
        </is>
      </c>
      <c r="F231" s="4" t="inlineStr">
        <is>
          <t>EMEF Distrito Norte</t>
        </is>
      </c>
      <c r="G231" s="4" t="inlineStr">
        <is>
          <t>T</t>
        </is>
      </c>
      <c r="H231" s="4" t="inlineStr"/>
      <c r="I231" s="4" t="inlineStr"/>
      <c r="J231" s="4" t="n">
        <v>-21.113515</v>
      </c>
      <c r="K231" s="4" t="n">
        <v>-47.748687</v>
      </c>
      <c r="L231" s="4" t="inlineStr"/>
    </row>
    <row r="232">
      <c r="A232" s="5" t="inlineStr">
        <is>
          <t>2026223</t>
        </is>
      </c>
      <c r="B232" s="5" t="inlineStr">
        <is>
          <t>Fábio Nascimento</t>
        </is>
      </c>
      <c r="C232" s="5" t="inlineStr">
        <is>
          <t>Rua das Acácias</t>
        </is>
      </c>
      <c r="D232" s="5" t="inlineStr">
        <is>
          <t>s/n</t>
        </is>
      </c>
      <c r="E232" s="5" t="inlineStr">
        <is>
          <t>Vila Rural Sul</t>
        </is>
      </c>
      <c r="F232" s="5" t="inlineStr">
        <is>
          <t>EMEF Vila Rural Sul</t>
        </is>
      </c>
      <c r="G232" s="5" t="inlineStr">
        <is>
          <t>T</t>
        </is>
      </c>
      <c r="H232" s="5" t="inlineStr"/>
      <c r="I232" s="5" t="inlineStr"/>
      <c r="J232" s="5" t="inlineStr"/>
      <c r="K232" s="5" t="inlineStr"/>
      <c r="L232" s="5" t="inlineStr">
        <is>
          <t>mora depois da ponte</t>
        </is>
      </c>
    </row>
    <row r="233">
      <c r="A233" s="4" t="inlineStr">
        <is>
          <t>2026224</t>
        </is>
      </c>
      <c r="B233" s="4" t="inlineStr">
        <is>
          <t>Lucas Barbosa</t>
        </is>
      </c>
      <c r="C233" s="4" t="inlineStr">
        <is>
          <t>Estrada do Assentamento</t>
        </is>
      </c>
      <c r="D233" s="4" t="inlineStr">
        <is>
          <t>838</t>
        </is>
      </c>
      <c r="E233" s="4" t="inlineStr">
        <is>
          <t>Assent. Oeste</t>
        </is>
      </c>
      <c r="F233" s="4" t="inlineStr">
        <is>
          <t>EMEF Vila Rural Sul</t>
        </is>
      </c>
      <c r="G233" s="4" t="inlineStr">
        <is>
          <t>M</t>
        </is>
      </c>
      <c r="H233" s="4" t="inlineStr"/>
      <c r="I233" s="4" t="inlineStr"/>
      <c r="J233" s="4" t="n">
        <v>-21.175639</v>
      </c>
      <c r="K233" s="4" t="n">
        <v>-47.899121</v>
      </c>
      <c r="L233" s="4" t="inlineStr"/>
    </row>
    <row r="234">
      <c r="A234" s="5" t="inlineStr">
        <is>
          <t>2026225</t>
        </is>
      </c>
      <c r="B234" s="5" t="inlineStr">
        <is>
          <t>Olívia Souza</t>
        </is>
      </c>
      <c r="C234" s="5" t="inlineStr">
        <is>
          <t>Travessa São José</t>
        </is>
      </c>
      <c r="D234" s="5" t="inlineStr">
        <is>
          <t>461</t>
        </is>
      </c>
      <c r="E234" s="5" t="inlineStr">
        <is>
          <t>Sede Urbana</t>
        </is>
      </c>
      <c r="F234" s="5" t="inlineStr">
        <is>
          <t>EMEF Centro</t>
        </is>
      </c>
      <c r="G234" s="5" t="inlineStr">
        <is>
          <t>manha</t>
        </is>
      </c>
      <c r="H234" s="5" t="inlineStr"/>
      <c r="I234" s="5" t="inlineStr"/>
      <c r="J234" s="5" t="n">
        <v>-21.154143</v>
      </c>
      <c r="K234" s="5" t="n">
        <v>-47.786742</v>
      </c>
      <c r="L234" s="5" t="inlineStr">
        <is>
          <t>família mudou de endereço</t>
        </is>
      </c>
    </row>
    <row r="235">
      <c r="A235" s="4" t="inlineStr">
        <is>
          <t>2026226</t>
        </is>
      </c>
      <c r="B235" s="4" t="inlineStr">
        <is>
          <t>Queila Pereira</t>
        </is>
      </c>
      <c r="C235" s="4" t="inlineStr">
        <is>
          <t>Travessa São José</t>
        </is>
      </c>
      <c r="D235" s="4" t="inlineStr">
        <is>
          <t>263</t>
        </is>
      </c>
      <c r="E235" s="4" t="inlineStr">
        <is>
          <t>Distrito Norte</t>
        </is>
      </c>
      <c r="F235" s="4" t="inlineStr">
        <is>
          <t>EMEF Vila Rural Sul</t>
        </is>
      </c>
      <c r="G235" s="4" t="inlineStr">
        <is>
          <t>Manhã</t>
        </is>
      </c>
      <c r="H235" s="4" t="inlineStr"/>
      <c r="I235" s="4" t="inlineStr"/>
      <c r="J235" s="4" t="n">
        <v>-21.074697</v>
      </c>
      <c r="K235" s="4" t="n">
        <v>-47.791047</v>
      </c>
      <c r="L235" s="4" t="inlineStr"/>
    </row>
    <row r="236">
      <c r="A236" s="5" t="inlineStr">
        <is>
          <t>2026227</t>
        </is>
      </c>
      <c r="B236" s="5" t="inlineStr">
        <is>
          <t>Heitor Araújo</t>
        </is>
      </c>
      <c r="C236" s="5" t="inlineStr">
        <is>
          <t>Rua Projetada A</t>
        </is>
      </c>
      <c r="D236" s="5" t="inlineStr">
        <is>
          <t>s/n</t>
        </is>
      </c>
      <c r="E236" s="5" t="inlineStr">
        <is>
          <t>Distrito Leste</t>
        </is>
      </c>
      <c r="F236" s="5" t="inlineStr">
        <is>
          <t>EMEF Centro</t>
        </is>
      </c>
      <c r="G236" s="5" t="inlineStr">
        <is>
          <t>T</t>
        </is>
      </c>
      <c r="H236" s="5" t="inlineStr">
        <is>
          <t>-</t>
        </is>
      </c>
      <c r="I236" s="5" t="inlineStr"/>
      <c r="J236" s="5" t="inlineStr"/>
      <c r="K236" s="5" t="inlineStr"/>
      <c r="L236" s="5" t="inlineStr"/>
    </row>
    <row r="237">
      <c r="A237" s="4" t="inlineStr">
        <is>
          <t>2026228</t>
        </is>
      </c>
      <c r="B237" s="4" t="inlineStr">
        <is>
          <t>Wesley Rodrigues</t>
        </is>
      </c>
      <c r="C237" s="4" t="inlineStr">
        <is>
          <t>Rua do Córrego</t>
        </is>
      </c>
      <c r="D237" s="4" t="inlineStr">
        <is>
          <t>379</t>
        </is>
      </c>
      <c r="E237" s="4" t="inlineStr">
        <is>
          <t>Vila Rural Sul</t>
        </is>
      </c>
      <c r="F237" s="4" t="inlineStr">
        <is>
          <t>EMEF Distrito Norte</t>
        </is>
      </c>
      <c r="G237" s="4" t="inlineStr">
        <is>
          <t>M</t>
        </is>
      </c>
      <c r="H237" s="4" t="inlineStr">
        <is>
          <t>-</t>
        </is>
      </c>
      <c r="I237" s="4" t="inlineStr"/>
      <c r="J237" s="4" t="n">
        <v>-21.206103</v>
      </c>
      <c r="K237" s="4" t="n">
        <v>-47.862143</v>
      </c>
      <c r="L237" s="4" t="inlineStr"/>
    </row>
    <row r="238">
      <c r="A238" s="5" t="inlineStr">
        <is>
          <t>2026229</t>
        </is>
      </c>
      <c r="B238" s="5" t="inlineStr">
        <is>
          <t>Ivone Costa</t>
        </is>
      </c>
      <c r="C238" s="5" t="inlineStr">
        <is>
          <t>Travessa São José</t>
        </is>
      </c>
      <c r="D238" s="5" t="inlineStr">
        <is>
          <t>825</t>
        </is>
      </c>
      <c r="E238" s="5" t="inlineStr">
        <is>
          <t>Assent. Oeste</t>
        </is>
      </c>
      <c r="F238" s="5" t="inlineStr">
        <is>
          <t>EMEF Vila Rural Sul</t>
        </is>
      </c>
      <c r="G238" s="5" t="inlineStr">
        <is>
          <t>T</t>
        </is>
      </c>
      <c r="H238" s="5" t="inlineStr"/>
      <c r="I238" s="5" t="inlineStr"/>
      <c r="J238" s="5" t="n">
        <v>-21.185351</v>
      </c>
      <c r="K238" s="5" t="n">
        <v>-47.897003</v>
      </c>
      <c r="L238" s="5" t="inlineStr"/>
    </row>
    <row r="239">
      <c r="A239" s="4" t="inlineStr">
        <is>
          <t>2026230</t>
        </is>
      </c>
      <c r="B239" s="4" t="inlineStr">
        <is>
          <t>TIAGO ARAÚJO</t>
        </is>
      </c>
      <c r="C239" s="4" t="inlineStr">
        <is>
          <t>Sítio Boa Vista</t>
        </is>
      </c>
      <c r="D239" s="4" t="inlineStr">
        <is>
          <t>94</t>
        </is>
      </c>
      <c r="E239" s="4" t="inlineStr">
        <is>
          <t>Sede Urbana</t>
        </is>
      </c>
      <c r="F239" s="4" t="inlineStr">
        <is>
          <t>EMEF Vila Rural Sul</t>
        </is>
      </c>
      <c r="G239" s="4" t="inlineStr">
        <is>
          <t>M</t>
        </is>
      </c>
      <c r="H239" s="4" t="inlineStr"/>
      <c r="I239" s="4" t="inlineStr"/>
      <c r="J239" s="4" t="n">
        <v>-21.166366</v>
      </c>
      <c r="K239" s="4" t="n">
        <v>-47.791316</v>
      </c>
      <c r="L239" s="4" t="inlineStr"/>
    </row>
    <row r="240">
      <c r="A240" s="5" t="inlineStr">
        <is>
          <t>2026231</t>
        </is>
      </c>
      <c r="B240" s="5" t="inlineStr">
        <is>
          <t>Úrsula Pereira</t>
        </is>
      </c>
      <c r="C240" s="5" t="inlineStr">
        <is>
          <t>Linha 3 do Assentamento</t>
        </is>
      </c>
      <c r="D240" s="5" t="inlineStr">
        <is>
          <t>8</t>
        </is>
      </c>
      <c r="E240" s="5" t="inlineStr">
        <is>
          <t>Distrito Norte</t>
        </is>
      </c>
      <c r="F240" s="5" t="inlineStr">
        <is>
          <t>EMEF Distrito Norte</t>
        </is>
      </c>
      <c r="G240" s="5" t="inlineStr">
        <is>
          <t xml:space="preserve">tarde </t>
        </is>
      </c>
      <c r="H240" s="5" t="inlineStr"/>
      <c r="I240" s="5" t="inlineStr"/>
      <c r="J240" s="5" t="n">
        <v>-21.11141</v>
      </c>
      <c r="K240" s="5" t="n">
        <v>-47.74527</v>
      </c>
      <c r="L240" s="5" t="inlineStr">
        <is>
          <t>estrada ruim em dia de chuva</t>
        </is>
      </c>
    </row>
    <row r="241">
      <c r="A241" s="4" t="inlineStr">
        <is>
          <t>2026232</t>
        </is>
      </c>
      <c r="B241" s="4" t="inlineStr">
        <is>
          <t>Yasmin Ribeiro</t>
        </is>
      </c>
      <c r="C241" s="4" t="inlineStr">
        <is>
          <t>Rua Projetada A</t>
        </is>
      </c>
      <c r="D241" s="4" t="inlineStr">
        <is>
          <t>794</t>
        </is>
      </c>
      <c r="E241" s="4" t="inlineStr">
        <is>
          <t>Distrito Leste</t>
        </is>
      </c>
      <c r="F241" s="4" t="inlineStr">
        <is>
          <t>EMEF Vila Rural Sul</t>
        </is>
      </c>
      <c r="G241" s="4" t="inlineStr">
        <is>
          <t xml:space="preserve">tarde </t>
        </is>
      </c>
      <c r="H241" s="4" t="inlineStr"/>
      <c r="I241" s="4" t="inlineStr"/>
      <c r="J241" s="4" t="n">
        <v>-21.127594</v>
      </c>
      <c r="K241" s="4" t="n">
        <v>-47.710095</v>
      </c>
      <c r="L241" s="4" t="inlineStr"/>
    </row>
    <row r="242">
      <c r="A242" s="5" t="inlineStr">
        <is>
          <t>2026233</t>
        </is>
      </c>
      <c r="B242" s="5" t="inlineStr">
        <is>
          <t>Sônia Ribeiro</t>
        </is>
      </c>
      <c r="C242" s="5" t="inlineStr">
        <is>
          <t>Travessa São José</t>
        </is>
      </c>
      <c r="D242" s="5" t="inlineStr">
        <is>
          <t>485</t>
        </is>
      </c>
      <c r="E242" s="5" t="inlineStr">
        <is>
          <t>Vila Rural Sul</t>
        </is>
      </c>
      <c r="F242" s="5" t="inlineStr">
        <is>
          <t>EMEF Distrito Norte</t>
        </is>
      </c>
      <c r="G242" s="5" t="inlineStr">
        <is>
          <t>M</t>
        </is>
      </c>
      <c r="H242" s="5" t="inlineStr"/>
      <c r="I242" s="5" t="inlineStr"/>
      <c r="J242" s="5" t="n">
        <v>-21.181723</v>
      </c>
      <c r="K242" s="5" t="n">
        <v>-47.858966</v>
      </c>
      <c r="L242" s="5" t="inlineStr">
        <is>
          <t>descer no ponto do vizinho</t>
        </is>
      </c>
    </row>
    <row r="243">
      <c r="A243" s="4" t="inlineStr">
        <is>
          <t>2026234</t>
        </is>
      </c>
      <c r="B243" s="4" t="inlineStr">
        <is>
          <t>Gabriela Silva</t>
        </is>
      </c>
      <c r="C243" s="4" t="inlineStr">
        <is>
          <t>Av. Central</t>
        </is>
      </c>
      <c r="D243" s="4" t="inlineStr">
        <is>
          <t>458</t>
        </is>
      </c>
      <c r="E243" s="4" t="inlineStr">
        <is>
          <t>Assent. Oeste</t>
        </is>
      </c>
      <c r="F243" s="4" t="inlineStr">
        <is>
          <t>EMEF Distrito Norte</t>
        </is>
      </c>
      <c r="G243" s="4" t="inlineStr">
        <is>
          <t>M</t>
        </is>
      </c>
      <c r="H243" s="4" t="inlineStr"/>
      <c r="I243" s="4" t="inlineStr"/>
      <c r="J243" s="4" t="n">
        <v>-21.164471</v>
      </c>
      <c r="K243" s="4" t="n">
        <v>-47.881979</v>
      </c>
      <c r="L243" s="4" t="inlineStr">
        <is>
          <t>porteira fechada, buzinar</t>
        </is>
      </c>
    </row>
    <row r="244">
      <c r="A244" s="5" t="inlineStr">
        <is>
          <t>2026235</t>
        </is>
      </c>
      <c r="B244" s="5" t="inlineStr">
        <is>
          <t>Karina Oliveira</t>
        </is>
      </c>
      <c r="C244" s="5" t="inlineStr">
        <is>
          <t>Linha 3 do Assentamento</t>
        </is>
      </c>
      <c r="D244" s="5" t="inlineStr">
        <is>
          <t>793</t>
        </is>
      </c>
      <c r="E244" s="5" t="inlineStr">
        <is>
          <t>Sede Urbana</t>
        </is>
      </c>
      <c r="F244" s="5" t="inlineStr">
        <is>
          <t>EMEF Centro</t>
        </is>
      </c>
      <c r="G244" s="5" t="inlineStr">
        <is>
          <t>Tarde</t>
        </is>
      </c>
      <c r="H244" s="5" t="inlineStr"/>
      <c r="I244" s="5" t="inlineStr">
        <is>
          <t>sim</t>
        </is>
      </c>
      <c r="J244" s="5" t="n">
        <v>-21.132974</v>
      </c>
      <c r="K244" s="5" t="n">
        <v>-47.802837</v>
      </c>
      <c r="L244" s="5" t="inlineStr"/>
    </row>
    <row r="245">
      <c r="A245" s="4" t="inlineStr">
        <is>
          <t>2026236</t>
        </is>
      </c>
      <c r="B245" s="4" t="inlineStr">
        <is>
          <t>Paulo Oliveira</t>
        </is>
      </c>
      <c r="C245" s="4" t="inlineStr">
        <is>
          <t>Av. Central</t>
        </is>
      </c>
      <c r="D245" s="4" t="inlineStr">
        <is>
          <t>344</t>
        </is>
      </c>
      <c r="E245" s="4" t="inlineStr">
        <is>
          <t>Distrito Norte</t>
        </is>
      </c>
      <c r="F245" s="4" t="inlineStr">
        <is>
          <t>EMEF Centro</t>
        </is>
      </c>
      <c r="G245" s="4" t="inlineStr">
        <is>
          <t>T</t>
        </is>
      </c>
      <c r="H245" s="4" t="inlineStr"/>
      <c r="I245" s="4" t="inlineStr">
        <is>
          <t>sim</t>
        </is>
      </c>
      <c r="J245" s="4" t="n">
        <v>-21.103466</v>
      </c>
      <c r="K245" s="4" t="n">
        <v>-47.759213</v>
      </c>
      <c r="L245" s="4" t="inlineStr">
        <is>
          <t>estrada ruim em dia de chuva</t>
        </is>
      </c>
    </row>
    <row r="246">
      <c r="A246" s="5" t="inlineStr">
        <is>
          <t>2026237</t>
        </is>
      </c>
      <c r="B246" s="5" t="inlineStr">
        <is>
          <t>Paulo Rodrigues</t>
        </is>
      </c>
      <c r="C246" s="5" t="inlineStr">
        <is>
          <t>Av. Central</t>
        </is>
      </c>
      <c r="D246" s="5" t="inlineStr">
        <is>
          <t>417</t>
        </is>
      </c>
      <c r="E246" s="5" t="inlineStr">
        <is>
          <t>Distrito Leste</t>
        </is>
      </c>
      <c r="F246" s="5" t="inlineStr">
        <is>
          <t>EMEF Centro</t>
        </is>
      </c>
      <c r="G246" s="5" t="inlineStr">
        <is>
          <t>T</t>
        </is>
      </c>
      <c r="H246" s="5" t="inlineStr"/>
      <c r="I246" s="5" t="inlineStr"/>
      <c r="J246" s="5" t="n">
        <v>-21.120038</v>
      </c>
      <c r="K246" s="5" t="n">
        <v>-47.709052</v>
      </c>
      <c r="L246" s="5" t="inlineStr"/>
    </row>
    <row r="247">
      <c r="A247" s="4" t="inlineStr">
        <is>
          <t>2026238</t>
        </is>
      </c>
      <c r="B247" s="4" t="inlineStr">
        <is>
          <t>Queila Araújo</t>
        </is>
      </c>
      <c r="C247" s="4" t="inlineStr">
        <is>
          <t>Linha 3 do Assentamento</t>
        </is>
      </c>
      <c r="D247" s="4" t="inlineStr">
        <is>
          <t>s/n</t>
        </is>
      </c>
      <c r="E247" s="4" t="inlineStr">
        <is>
          <t>Vila Rural Sul</t>
        </is>
      </c>
      <c r="F247" s="4" t="inlineStr">
        <is>
          <t>EMEF Vila Rural Sul</t>
        </is>
      </c>
      <c r="G247" s="4" t="inlineStr">
        <is>
          <t>M</t>
        </is>
      </c>
      <c r="H247" s="4" t="inlineStr"/>
      <c r="I247" s="4" t="inlineStr"/>
      <c r="J247" s="4" t="inlineStr"/>
      <c r="K247" s="4" t="inlineStr"/>
      <c r="L247" s="4" t="inlineStr"/>
    </row>
    <row r="248">
      <c r="A248" s="5" t="inlineStr">
        <is>
          <t>2026239</t>
        </is>
      </c>
      <c r="B248" s="5" t="inlineStr">
        <is>
          <t>Olívia Nascimento</t>
        </is>
      </c>
      <c r="C248" s="5" t="inlineStr">
        <is>
          <t>Rua do Córrego</t>
        </is>
      </c>
      <c r="D248" s="5" t="inlineStr">
        <is>
          <t>351</t>
        </is>
      </c>
      <c r="E248" s="5" t="inlineStr">
        <is>
          <t>Assent. Oeste</t>
        </is>
      </c>
      <c r="F248" s="5" t="inlineStr">
        <is>
          <t>EMEF Distrito Norte</t>
        </is>
      </c>
      <c r="G248" s="5" t="inlineStr">
        <is>
          <t>Manhã</t>
        </is>
      </c>
      <c r="H248" s="5" t="inlineStr">
        <is>
          <t>NÃO</t>
        </is>
      </c>
      <c r="I248" s="5" t="inlineStr"/>
      <c r="J248" s="5" t="n">
        <v>-21.202347</v>
      </c>
      <c r="K248" s="5" t="n">
        <v>-47.848972</v>
      </c>
      <c r="L248" s="5" t="inlineStr"/>
    </row>
    <row r="249">
      <c r="A249" s="4" t="inlineStr">
        <is>
          <t>2026240</t>
        </is>
      </c>
      <c r="B249" s="4" t="inlineStr">
        <is>
          <t>Diego Rodrigues</t>
        </is>
      </c>
      <c r="C249" s="4" t="inlineStr">
        <is>
          <t>Estrada Municipal RM-040</t>
        </is>
      </c>
      <c r="D249" s="4" t="inlineStr">
        <is>
          <t>275</t>
        </is>
      </c>
      <c r="E249" s="4" t="inlineStr">
        <is>
          <t>Sede Urbana</t>
        </is>
      </c>
      <c r="F249" s="4" t="inlineStr">
        <is>
          <t>EMEF Distrito Norte</t>
        </is>
      </c>
      <c r="G249" s="4" t="inlineStr">
        <is>
          <t xml:space="preserve">tarde </t>
        </is>
      </c>
      <c r="H249" s="4" t="inlineStr">
        <is>
          <t>NÃO</t>
        </is>
      </c>
      <c r="I249" s="4" t="inlineStr"/>
      <c r="J249" s="4" t="n">
        <v>-21.136276</v>
      </c>
      <c r="K249" s="4" t="n">
        <v>-47.783045</v>
      </c>
      <c r="L249" s="4" t="inlineStr">
        <is>
          <t>mora depois da ponte</t>
        </is>
      </c>
    </row>
    <row r="250">
      <c r="A250" s="5" t="inlineStr">
        <is>
          <t>2026241</t>
        </is>
      </c>
      <c r="B250" s="5" t="inlineStr">
        <is>
          <t>Queila Ferreira</t>
        </is>
      </c>
      <c r="C250" s="5" t="inlineStr">
        <is>
          <t>Rua do Córrego</t>
        </is>
      </c>
      <c r="D250" s="5" t="inlineStr">
        <is>
          <t>725</t>
        </is>
      </c>
      <c r="E250" s="5" t="inlineStr">
        <is>
          <t>Distrito Norte</t>
        </is>
      </c>
      <c r="F250" s="5" t="inlineStr">
        <is>
          <t>EMEF Distrito Norte</t>
        </is>
      </c>
      <c r="G250" s="5" t="inlineStr">
        <is>
          <t>Manhã</t>
        </is>
      </c>
      <c r="H250" s="5" t="inlineStr"/>
      <c r="I250" s="5" t="inlineStr"/>
      <c r="J250" s="5" t="n">
        <v>-21.064586</v>
      </c>
      <c r="K250" s="5" t="n">
        <v>-47.772027</v>
      </c>
      <c r="L250" s="5" t="inlineStr"/>
    </row>
    <row r="251">
      <c r="A251" s="4" t="inlineStr">
        <is>
          <t>2026242</t>
        </is>
      </c>
      <c r="B251" s="4" t="inlineStr">
        <is>
          <t>Gabriela Rodrigues</t>
        </is>
      </c>
      <c r="C251" s="4" t="inlineStr">
        <is>
          <t>Sítio Boa Vista</t>
        </is>
      </c>
      <c r="D251" s="4" t="inlineStr">
        <is>
          <t>45</t>
        </is>
      </c>
      <c r="E251" s="4" t="inlineStr">
        <is>
          <t>Distrito Leste</t>
        </is>
      </c>
      <c r="F251" s="4" t="inlineStr">
        <is>
          <t>EMEF Centro</t>
        </is>
      </c>
      <c r="G251" s="4" t="inlineStr">
        <is>
          <t>Vespertino</t>
        </is>
      </c>
      <c r="H251" s="4" t="inlineStr"/>
      <c r="I251" s="4" t="inlineStr"/>
      <c r="J251" s="4" t="n">
        <v>-21.125996</v>
      </c>
      <c r="K251" s="4" t="n">
        <v>-47.72555</v>
      </c>
      <c r="L251" s="4" t="inlineStr">
        <is>
          <t>descer no ponto do vizinho</t>
        </is>
      </c>
    </row>
    <row r="252">
      <c r="A252" s="5" t="inlineStr">
        <is>
          <t>2026243</t>
        </is>
      </c>
      <c r="B252" s="5" t="inlineStr">
        <is>
          <t>Karina Costa</t>
        </is>
      </c>
      <c r="C252" s="5" t="inlineStr">
        <is>
          <t>Estrada Municipal RM-040</t>
        </is>
      </c>
      <c r="D252" s="5" t="inlineStr">
        <is>
          <t>s/n</t>
        </is>
      </c>
      <c r="E252" s="5" t="inlineStr">
        <is>
          <t>Vila Rural Sul</t>
        </is>
      </c>
      <c r="F252" s="5" t="inlineStr">
        <is>
          <t>EMEF Centro</t>
        </is>
      </c>
      <c r="G252" s="5" t="inlineStr">
        <is>
          <t>T</t>
        </is>
      </c>
      <c r="H252" s="5" t="inlineStr">
        <is>
          <t>?</t>
        </is>
      </c>
      <c r="I252" s="5" t="inlineStr"/>
      <c r="J252" s="5" t="inlineStr"/>
      <c r="K252" s="5" t="inlineStr"/>
      <c r="L252" s="5" t="inlineStr"/>
    </row>
    <row r="253">
      <c r="A253" s="4" t="inlineStr">
        <is>
          <t>2026244</t>
        </is>
      </c>
      <c r="B253" s="4" t="inlineStr">
        <is>
          <t>Gabriela Gomes</t>
        </is>
      </c>
      <c r="C253" s="4" t="inlineStr">
        <is>
          <t>Rua Projetada A</t>
        </is>
      </c>
      <c r="D253" s="4" t="inlineStr">
        <is>
          <t>433</t>
        </is>
      </c>
      <c r="E253" s="4" t="inlineStr">
        <is>
          <t>Assent. Oeste</t>
        </is>
      </c>
      <c r="F253" s="4" t="inlineStr">
        <is>
          <t>EMEF Vila Rural Sul</t>
        </is>
      </c>
      <c r="G253" s="4" t="inlineStr">
        <is>
          <t>Vespertino</t>
        </is>
      </c>
      <c r="H253" s="4" t="inlineStr"/>
      <c r="I253" s="4" t="inlineStr"/>
      <c r="J253" s="4" t="n">
        <v>-47.871619</v>
      </c>
      <c r="K253" s="4" t="n">
        <v>-21.187347</v>
      </c>
      <c r="L253" s="4" t="inlineStr">
        <is>
          <t>porteira fechada, buzinar</t>
        </is>
      </c>
    </row>
    <row r="254">
      <c r="A254" s="5" t="inlineStr">
        <is>
          <t>2026245</t>
        </is>
      </c>
      <c r="B254" s="5" t="inlineStr">
        <is>
          <t>Ivone Rodrigues</t>
        </is>
      </c>
      <c r="C254" s="5" t="inlineStr">
        <is>
          <t>Linha 3 do Assentamento</t>
        </is>
      </c>
      <c r="D254" s="5" t="inlineStr">
        <is>
          <t>839</t>
        </is>
      </c>
      <c r="E254" s="5" t="inlineStr">
        <is>
          <t>Sede Urbana</t>
        </is>
      </c>
      <c r="F254" s="5" t="inlineStr">
        <is>
          <t>EMEF Centro</t>
        </is>
      </c>
      <c r="G254" s="5" t="inlineStr">
        <is>
          <t>M</t>
        </is>
      </c>
      <c r="H254" s="5" t="inlineStr"/>
      <c r="I254" s="5" t="inlineStr"/>
      <c r="J254" s="5" t="n">
        <v>-21.134573</v>
      </c>
      <c r="K254" s="5" t="n">
        <v>-47.813661</v>
      </c>
      <c r="L254" s="5" t="inlineStr"/>
    </row>
    <row r="255">
      <c r="A255" s="4" t="inlineStr">
        <is>
          <t>2026246</t>
        </is>
      </c>
      <c r="B255" s="4" t="inlineStr">
        <is>
          <t>Karina Costa</t>
        </is>
      </c>
      <c r="C255" s="4" t="inlineStr">
        <is>
          <t>Estrada do Assentamento</t>
        </is>
      </c>
      <c r="D255" s="4" t="inlineStr">
        <is>
          <t>382</t>
        </is>
      </c>
      <c r="E255" s="4" t="inlineStr">
        <is>
          <t>Distrito Norte</t>
        </is>
      </c>
      <c r="F255" s="4" t="inlineStr">
        <is>
          <t>EMEF Centro</t>
        </is>
      </c>
      <c r="G255" s="4" t="inlineStr">
        <is>
          <t>manha</t>
        </is>
      </c>
      <c r="H255" s="4" t="inlineStr"/>
      <c r="I255" s="4" t="inlineStr"/>
      <c r="J255" s="4" t="n">
        <v>-21.07538</v>
      </c>
      <c r="K255" s="4" t="n">
        <v>-47.761577</v>
      </c>
      <c r="L255" s="4" t="inlineStr">
        <is>
          <t>descer no ponto do vizinho</t>
        </is>
      </c>
    </row>
    <row r="256">
      <c r="A256" s="5" t="inlineStr">
        <is>
          <t>2026247</t>
        </is>
      </c>
      <c r="B256" s="5" t="inlineStr">
        <is>
          <t>Ana Nascimento</t>
        </is>
      </c>
      <c r="C256" s="5" t="inlineStr">
        <is>
          <t>Rua Projetada A</t>
        </is>
      </c>
      <c r="D256" s="5" t="inlineStr">
        <is>
          <t>836</t>
        </is>
      </c>
      <c r="E256" s="5" t="inlineStr">
        <is>
          <t>Distrito Leste</t>
        </is>
      </c>
      <c r="F256" s="5" t="inlineStr">
        <is>
          <t>EMEF Vila Rural Sul</t>
        </is>
      </c>
      <c r="G256" s="5" t="inlineStr">
        <is>
          <t>MAT</t>
        </is>
      </c>
      <c r="H256" s="5" t="inlineStr"/>
      <c r="I256" s="5" t="inlineStr"/>
      <c r="J256" s="5" t="n">
        <v>-21.122589</v>
      </c>
      <c r="K256" s="5" t="n">
        <v>-47.736173</v>
      </c>
      <c r="L256" s="5" t="inlineStr">
        <is>
          <t>descer no ponto do vizinho</t>
        </is>
      </c>
    </row>
    <row r="257">
      <c r="A257" s="4" t="inlineStr">
        <is>
          <t>2026248</t>
        </is>
      </c>
      <c r="B257" s="4" t="inlineStr">
        <is>
          <t xml:space="preserve">  Lucas Souza </t>
        </is>
      </c>
      <c r="C257" s="4" t="inlineStr">
        <is>
          <t>Rua do Córrego</t>
        </is>
      </c>
      <c r="D257" s="4" t="inlineStr">
        <is>
          <t>s/n</t>
        </is>
      </c>
      <c r="E257" s="4" t="inlineStr">
        <is>
          <t>Vila Rural Sul</t>
        </is>
      </c>
      <c r="F257" s="4" t="inlineStr">
        <is>
          <t>EMEF Vila Rural Sul</t>
        </is>
      </c>
      <c r="G257" s="4" t="inlineStr">
        <is>
          <t>manha</t>
        </is>
      </c>
      <c r="H257" s="4" t="inlineStr"/>
      <c r="I257" s="4" t="inlineStr"/>
      <c r="J257" s="4" t="inlineStr"/>
      <c r="K257" s="4" t="inlineStr"/>
      <c r="L257" s="4" t="inlineStr">
        <is>
          <t>mora depois da ponte</t>
        </is>
      </c>
    </row>
    <row r="258">
      <c r="A258" s="5" t="inlineStr">
        <is>
          <t>2026249</t>
        </is>
      </c>
      <c r="B258" s="5" t="inlineStr">
        <is>
          <t>Karina Souza</t>
        </is>
      </c>
      <c r="C258" s="5" t="inlineStr">
        <is>
          <t>Sítio Boa Vista</t>
        </is>
      </c>
      <c r="D258" s="5" t="inlineStr">
        <is>
          <t>857</t>
        </is>
      </c>
      <c r="E258" s="5" t="inlineStr">
        <is>
          <t>Assent. Oeste</t>
        </is>
      </c>
      <c r="F258" s="5" t="inlineStr">
        <is>
          <t>EMEF Centro</t>
        </is>
      </c>
      <c r="G258" s="5" t="inlineStr">
        <is>
          <t>Manhã</t>
        </is>
      </c>
      <c r="H258" s="5" t="inlineStr">
        <is>
          <t>NÃO</t>
        </is>
      </c>
      <c r="I258" s="5" t="inlineStr"/>
      <c r="J258" s="5" t="n">
        <v>-21.149794</v>
      </c>
      <c r="K258" s="5" t="n">
        <v>-47.914701</v>
      </c>
      <c r="L258" s="5" t="inlineStr"/>
    </row>
    <row r="259">
      <c r="A259" s="4" t="inlineStr">
        <is>
          <t>2026250</t>
        </is>
      </c>
      <c r="B259" s="4" t="inlineStr">
        <is>
          <t>Marina Rodrigues</t>
        </is>
      </c>
      <c r="C259" s="4" t="inlineStr">
        <is>
          <t>Rua do Córrego</t>
        </is>
      </c>
      <c r="D259" s="4" t="inlineStr">
        <is>
          <t>s/n</t>
        </is>
      </c>
      <c r="E259" s="4" t="inlineStr">
        <is>
          <t>Sede Urbana</t>
        </is>
      </c>
      <c r="F259" s="4" t="inlineStr">
        <is>
          <t>EMEF Vila Rural Sul</t>
        </is>
      </c>
      <c r="G259" s="4" t="inlineStr">
        <is>
          <t xml:space="preserve">tarde </t>
        </is>
      </c>
      <c r="H259" s="4" t="inlineStr"/>
      <c r="I259" s="4" t="inlineStr"/>
      <c r="J259" s="4" t="inlineStr"/>
      <c r="K259" s="4" t="inlineStr"/>
      <c r="L259" s="4" t="inlineStr">
        <is>
          <t>mora depois da ponte</t>
        </is>
      </c>
    </row>
    <row r="260">
      <c r="A260" s="5" t="inlineStr">
        <is>
          <t>2026251</t>
        </is>
      </c>
      <c r="B260" s="5" t="inlineStr">
        <is>
          <t>Marina Rodrigues</t>
        </is>
      </c>
      <c r="C260" s="5" t="inlineStr">
        <is>
          <t>Rua do Córrego</t>
        </is>
      </c>
      <c r="D260" s="5" t="inlineStr">
        <is>
          <t>783</t>
        </is>
      </c>
      <c r="E260" s="5" t="inlineStr">
        <is>
          <t>Distrito Norte</t>
        </is>
      </c>
      <c r="F260" s="5" t="inlineStr">
        <is>
          <t>EMEF Centro</t>
        </is>
      </c>
      <c r="G260" s="5" t="inlineStr">
        <is>
          <t>MAT</t>
        </is>
      </c>
      <c r="H260" s="5" t="inlineStr"/>
      <c r="I260" s="5" t="inlineStr"/>
      <c r="J260" s="5" t="n">
        <v>-21.115648</v>
      </c>
      <c r="K260" s="5" t="n">
        <v>-47.777335</v>
      </c>
      <c r="L260" s="5" t="inlineStr"/>
    </row>
    <row r="261">
      <c r="A261" s="4" t="inlineStr">
        <is>
          <t>2026252</t>
        </is>
      </c>
      <c r="B261" s="4" t="inlineStr">
        <is>
          <t>Sônia Araújo</t>
        </is>
      </c>
      <c r="C261" s="4" t="inlineStr">
        <is>
          <t>Rua Projetada A</t>
        </is>
      </c>
      <c r="D261" s="4" t="inlineStr">
        <is>
          <t>830</t>
        </is>
      </c>
      <c r="E261" s="4" t="inlineStr">
        <is>
          <t>Distrito Leste</t>
        </is>
      </c>
      <c r="F261" s="4" t="inlineStr">
        <is>
          <t>EMEF Vila Rural Sul</t>
        </is>
      </c>
      <c r="G261" s="4" t="inlineStr">
        <is>
          <t xml:space="preserve">tarde </t>
        </is>
      </c>
      <c r="H261" s="4" t="inlineStr"/>
      <c r="I261" s="4" t="inlineStr"/>
      <c r="J261" s="4" t="n">
        <v>-21.106463</v>
      </c>
      <c r="K261" s="4" t="n">
        <v>-47.751877</v>
      </c>
      <c r="L261" s="4" t="inlineStr">
        <is>
          <t>descer no ponto do vizinho</t>
        </is>
      </c>
    </row>
    <row r="262">
      <c r="A262" s="5" t="inlineStr">
        <is>
          <t>2026252</t>
        </is>
      </c>
      <c r="B262" s="5" t="inlineStr">
        <is>
          <t>Sônia Araújo</t>
        </is>
      </c>
      <c r="C262" s="5" t="inlineStr">
        <is>
          <t>Rua Projetada A</t>
        </is>
      </c>
      <c r="D262" s="5" t="inlineStr">
        <is>
          <t>830</t>
        </is>
      </c>
      <c r="E262" s="5" t="inlineStr">
        <is>
          <t>Distrito Leste</t>
        </is>
      </c>
      <c r="F262" s="5" t="inlineStr">
        <is>
          <t>EMEF Vila Rural Sul</t>
        </is>
      </c>
      <c r="G262" s="5" t="inlineStr">
        <is>
          <t xml:space="preserve">tarde </t>
        </is>
      </c>
      <c r="H262" s="5" t="inlineStr"/>
      <c r="I262" s="5" t="inlineStr"/>
      <c r="J262" s="5" t="n">
        <v>-21.106463</v>
      </c>
      <c r="K262" s="5" t="n">
        <v>-47.751877</v>
      </c>
      <c r="L262" s="5" t="inlineStr">
        <is>
          <t>descer no ponto do vizinho</t>
        </is>
      </c>
    </row>
    <row r="263">
      <c r="A263" s="4" t="inlineStr">
        <is>
          <t>2026253</t>
        </is>
      </c>
      <c r="B263" s="4" t="inlineStr">
        <is>
          <t>JOÃO FERREIRA</t>
        </is>
      </c>
      <c r="C263" s="4" t="inlineStr">
        <is>
          <t>Rua das Acácias</t>
        </is>
      </c>
      <c r="D263" s="4" t="inlineStr">
        <is>
          <t>47</t>
        </is>
      </c>
      <c r="E263" s="4" t="inlineStr">
        <is>
          <t>Vila Rural Sul</t>
        </is>
      </c>
      <c r="F263" s="4" t="inlineStr">
        <is>
          <t>EMEF Distrito Norte</t>
        </is>
      </c>
      <c r="G263" s="4" t="inlineStr">
        <is>
          <t xml:space="preserve">tarde </t>
        </is>
      </c>
      <c r="H263" s="4" t="inlineStr"/>
      <c r="I263" s="4" t="inlineStr"/>
      <c r="J263" s="4" t="n">
        <v>-21.24078</v>
      </c>
      <c r="K263" s="4" t="n">
        <v>-47.849903</v>
      </c>
      <c r="L263" s="4" t="inlineStr">
        <is>
          <t>porteira fechada, buzinar</t>
        </is>
      </c>
    </row>
    <row r="264">
      <c r="A264" s="5" t="inlineStr">
        <is>
          <t>2026254</t>
        </is>
      </c>
      <c r="B264" s="5" t="inlineStr">
        <is>
          <t>Úrsula Martins</t>
        </is>
      </c>
      <c r="C264" s="5" t="inlineStr">
        <is>
          <t>Linha 3 do Assentamento</t>
        </is>
      </c>
      <c r="D264" s="5" t="inlineStr">
        <is>
          <t>s/n</t>
        </is>
      </c>
      <c r="E264" s="5" t="inlineStr">
        <is>
          <t>Assent. Oeste</t>
        </is>
      </c>
      <c r="F264" s="5" t="inlineStr">
        <is>
          <t>EMEF Centro</t>
        </is>
      </c>
      <c r="G264" s="5" t="inlineStr">
        <is>
          <t xml:space="preserve">tarde </t>
        </is>
      </c>
      <c r="H264" s="5" t="inlineStr"/>
      <c r="I264" s="5" t="inlineStr"/>
      <c r="J264" s="5" t="inlineStr"/>
      <c r="K264" s="5" t="inlineStr"/>
      <c r="L264" s="5" t="inlineStr">
        <is>
          <t>estrada ruim em dia de chuva</t>
        </is>
      </c>
    </row>
    <row r="265">
      <c r="A265" s="4" t="inlineStr">
        <is>
          <t>2026255</t>
        </is>
      </c>
      <c r="B265" s="4" t="inlineStr">
        <is>
          <t>Lucas Silva</t>
        </is>
      </c>
      <c r="C265" s="4" t="inlineStr">
        <is>
          <t>Estrada Municipal RM-040</t>
        </is>
      </c>
      <c r="D265" s="4" t="inlineStr">
        <is>
          <t>305</t>
        </is>
      </c>
      <c r="E265" s="4" t="inlineStr">
        <is>
          <t>Sede Urbana</t>
        </is>
      </c>
      <c r="F265" s="4" t="inlineStr">
        <is>
          <t>EMEF Centro</t>
        </is>
      </c>
      <c r="G265" s="4" t="inlineStr">
        <is>
          <t>manha</t>
        </is>
      </c>
      <c r="H265" s="4" t="inlineStr"/>
      <c r="I265" s="4" t="inlineStr"/>
      <c r="J265" s="4" t="n">
        <v>-21.14649</v>
      </c>
      <c r="K265" s="4" t="n">
        <v>-47.785972</v>
      </c>
      <c r="L265" s="4" t="inlineStr">
        <is>
          <t>mora depois da ponte</t>
        </is>
      </c>
    </row>
    <row r="266">
      <c r="A266" s="5" t="inlineStr">
        <is>
          <t>2026256</t>
        </is>
      </c>
      <c r="B266" s="5" t="inlineStr">
        <is>
          <t>Bruno Nascimento</t>
        </is>
      </c>
      <c r="C266" s="5" t="inlineStr">
        <is>
          <t>Travessa São José</t>
        </is>
      </c>
      <c r="D266" s="5" t="inlineStr">
        <is>
          <t>221</t>
        </is>
      </c>
      <c r="E266" s="5" t="inlineStr">
        <is>
          <t>Distrito Norte</t>
        </is>
      </c>
      <c r="F266" s="5" t="inlineStr">
        <is>
          <t>EMEF Distrito Norte</t>
        </is>
      </c>
      <c r="G266" s="5" t="inlineStr">
        <is>
          <t>MAT</t>
        </is>
      </c>
      <c r="H266" s="5" t="inlineStr"/>
      <c r="I266" s="5" t="inlineStr"/>
      <c r="J266" s="5" t="n">
        <v>-21.10531</v>
      </c>
      <c r="K266" s="5" t="n">
        <v>-47.745544</v>
      </c>
      <c r="L266" s="5" t="inlineStr">
        <is>
          <t>porteira fechada, buzinar</t>
        </is>
      </c>
    </row>
    <row r="267">
      <c r="A267" s="4" t="inlineStr">
        <is>
          <t>2026257</t>
        </is>
      </c>
      <c r="B267" s="4" t="inlineStr">
        <is>
          <t>Paulo Silva</t>
        </is>
      </c>
      <c r="C267" s="4" t="inlineStr">
        <is>
          <t>Estrada do Assentamento</t>
        </is>
      </c>
      <c r="D267" s="4" t="inlineStr">
        <is>
          <t>743</t>
        </is>
      </c>
      <c r="E267" s="4" t="inlineStr">
        <is>
          <t>Distrito Leste</t>
        </is>
      </c>
      <c r="F267" s="4" t="inlineStr">
        <is>
          <t>EMEF Centro</t>
        </is>
      </c>
      <c r="G267" s="4" t="inlineStr">
        <is>
          <t xml:space="preserve">tarde </t>
        </is>
      </c>
      <c r="H267" s="4" t="inlineStr"/>
      <c r="I267" s="4" t="inlineStr"/>
      <c r="J267" s="4" t="n">
        <v>-21.113334</v>
      </c>
      <c r="K267" s="4" t="n">
        <v>-47.687771</v>
      </c>
      <c r="L267" s="4" t="inlineStr">
        <is>
          <t>descer no ponto do vizinho</t>
        </is>
      </c>
    </row>
    <row r="268">
      <c r="A268" s="5" t="inlineStr">
        <is>
          <t>2026258</t>
        </is>
      </c>
      <c r="B268" s="5" t="inlineStr">
        <is>
          <t>Wesley Martins</t>
        </is>
      </c>
      <c r="C268" s="5" t="inlineStr">
        <is>
          <t>Av. Central</t>
        </is>
      </c>
      <c r="D268" s="5" t="inlineStr">
        <is>
          <t>399</t>
        </is>
      </c>
      <c r="E268" s="5" t="inlineStr">
        <is>
          <t>Vila Rural Sul</t>
        </is>
      </c>
      <c r="F268" s="5" t="inlineStr">
        <is>
          <t>EMEF Vila Rural Sul</t>
        </is>
      </c>
      <c r="G268" s="5" t="inlineStr">
        <is>
          <t>manha</t>
        </is>
      </c>
      <c r="H268" s="5" t="inlineStr"/>
      <c r="I268" s="5" t="inlineStr"/>
      <c r="J268" s="5" t="n">
        <v>-21.222824</v>
      </c>
      <c r="K268" s="5" t="n">
        <v>-47.800392</v>
      </c>
      <c r="L268" s="5" t="inlineStr">
        <is>
          <t>descer no ponto do vizinho</t>
        </is>
      </c>
    </row>
    <row r="269">
      <c r="A269" s="4" t="inlineStr">
        <is>
          <t>2026259</t>
        </is>
      </c>
      <c r="B269" s="4" t="inlineStr">
        <is>
          <t>Úrsula Silva</t>
        </is>
      </c>
      <c r="C269" s="4" t="inlineStr">
        <is>
          <t>Estrada Municipal RM-040</t>
        </is>
      </c>
      <c r="D269" s="4" t="inlineStr">
        <is>
          <t>347</t>
        </is>
      </c>
      <c r="E269" s="4" t="inlineStr">
        <is>
          <t>Assent. Oeste</t>
        </is>
      </c>
      <c r="F269" s="4" t="inlineStr">
        <is>
          <t>EMEF Vila Rural Sul</t>
        </is>
      </c>
      <c r="G269" s="4" t="inlineStr">
        <is>
          <t>Tarde</t>
        </is>
      </c>
      <c r="H269" s="4" t="inlineStr"/>
      <c r="I269" s="4" t="inlineStr"/>
      <c r="J269" s="4" t="n">
        <v>-21.138777</v>
      </c>
      <c r="K269" s="4" t="n">
        <v>-47.866725</v>
      </c>
      <c r="L269" s="4" t="inlineStr">
        <is>
          <t>família mudou de endereço</t>
        </is>
      </c>
    </row>
    <row r="270">
      <c r="A270" s="5" t="inlineStr">
        <is>
          <t>2026260</t>
        </is>
      </c>
      <c r="B270" s="5" t="inlineStr">
        <is>
          <t>Vinícius Barbosa</t>
        </is>
      </c>
      <c r="C270" s="5" t="inlineStr">
        <is>
          <t>Travessa São José</t>
        </is>
      </c>
      <c r="D270" s="5" t="inlineStr">
        <is>
          <t>131</t>
        </is>
      </c>
      <c r="E270" s="5" t="inlineStr">
        <is>
          <t>Sede Urbana</t>
        </is>
      </c>
      <c r="F270" s="5" t="inlineStr">
        <is>
          <t>EMEF Centro</t>
        </is>
      </c>
      <c r="G270" s="5" t="inlineStr">
        <is>
          <t>manha</t>
        </is>
      </c>
      <c r="H270" s="5" t="inlineStr">
        <is>
          <t>SIM</t>
        </is>
      </c>
      <c r="I270" s="5" t="inlineStr"/>
      <c r="J270" s="5" t="n">
        <v>-21.135854</v>
      </c>
      <c r="K270" s="5" t="n">
        <v>-47.786487</v>
      </c>
      <c r="L270" s="5" t="inlineStr"/>
    </row>
    <row r="271">
      <c r="A271" s="4" t="inlineStr">
        <is>
          <t>2026261</t>
        </is>
      </c>
      <c r="B271" s="4" t="inlineStr">
        <is>
          <t>Úrsula Costa</t>
        </is>
      </c>
      <c r="C271" s="4" t="inlineStr">
        <is>
          <t>Travessa São José</t>
        </is>
      </c>
      <c r="D271" s="4" t="inlineStr">
        <is>
          <t>s/n</t>
        </is>
      </c>
      <c r="E271" s="4" t="inlineStr">
        <is>
          <t>Distrito Norte</t>
        </is>
      </c>
      <c r="F271" s="4" t="inlineStr">
        <is>
          <t>EMEF Centro</t>
        </is>
      </c>
      <c r="G271" s="4" t="inlineStr">
        <is>
          <t xml:space="preserve">tarde </t>
        </is>
      </c>
      <c r="H271" s="4" t="inlineStr"/>
      <c r="I271" s="4" t="inlineStr">
        <is>
          <t>sim</t>
        </is>
      </c>
      <c r="J271" s="4" t="inlineStr"/>
      <c r="K271" s="4" t="inlineStr"/>
      <c r="L271" s="4" t="inlineStr"/>
    </row>
    <row r="272">
      <c r="A272" s="5" t="inlineStr">
        <is>
          <t>2026262</t>
        </is>
      </c>
      <c r="B272" s="5" t="inlineStr">
        <is>
          <t>João Pereira</t>
        </is>
      </c>
      <c r="C272" s="5" t="inlineStr">
        <is>
          <t>Estrada do Assentamento</t>
        </is>
      </c>
      <c r="D272" s="5" t="inlineStr">
        <is>
          <t>416</t>
        </is>
      </c>
      <c r="E272" s="5" t="inlineStr">
        <is>
          <t>Distrito Leste</t>
        </is>
      </c>
      <c r="F272" s="5" t="inlineStr">
        <is>
          <t>EMEF Vila Rural Sul</t>
        </is>
      </c>
      <c r="G272" s="5" t="inlineStr">
        <is>
          <t>M</t>
        </is>
      </c>
      <c r="H272" s="5" t="inlineStr"/>
      <c r="I272" s="5" t="inlineStr"/>
      <c r="J272" s="5" t="n">
        <v>-21.118756</v>
      </c>
      <c r="K272" s="5" t="n">
        <v>-47.743388</v>
      </c>
      <c r="L272" s="5" t="inlineStr">
        <is>
          <t>mora depois da ponte</t>
        </is>
      </c>
    </row>
    <row r="273">
      <c r="A273" s="4" t="inlineStr">
        <is>
          <t>2026263</t>
        </is>
      </c>
      <c r="B273" s="4" t="inlineStr">
        <is>
          <t>Queila Souza</t>
        </is>
      </c>
      <c r="C273" s="4" t="inlineStr">
        <is>
          <t>Sítio Boa Vista</t>
        </is>
      </c>
      <c r="D273" s="4" t="inlineStr">
        <is>
          <t>s/n</t>
        </is>
      </c>
      <c r="E273" s="4" t="inlineStr">
        <is>
          <t>Vila Rural Sul</t>
        </is>
      </c>
      <c r="F273" s="4" t="inlineStr">
        <is>
          <t>EMEF Centro</t>
        </is>
      </c>
      <c r="G273" s="4" t="inlineStr">
        <is>
          <t>MAT</t>
        </is>
      </c>
      <c r="H273" s="4" t="inlineStr">
        <is>
          <t>não</t>
        </is>
      </c>
      <c r="I273" s="4" t="inlineStr"/>
      <c r="J273" s="4" t="inlineStr"/>
      <c r="K273" s="4" t="inlineStr"/>
      <c r="L273" s="4" t="inlineStr"/>
    </row>
    <row r="274">
      <c r="A274" s="5" t="inlineStr">
        <is>
          <t>2026264</t>
        </is>
      </c>
      <c r="B274" s="5" t="inlineStr">
        <is>
          <t>Bruno Pereira</t>
        </is>
      </c>
      <c r="C274" s="5" t="inlineStr">
        <is>
          <t>Av. Central</t>
        </is>
      </c>
      <c r="D274" s="5" t="inlineStr">
        <is>
          <t>s/n</t>
        </is>
      </c>
      <c r="E274" s="5" t="inlineStr">
        <is>
          <t>Assent. Oeste</t>
        </is>
      </c>
      <c r="F274" s="5" t="inlineStr">
        <is>
          <t>EMEF Distrito Norte</t>
        </is>
      </c>
      <c r="G274" s="5" t="inlineStr">
        <is>
          <t xml:space="preserve">tarde </t>
        </is>
      </c>
      <c r="H274" s="5" t="inlineStr"/>
      <c r="I274" s="5" t="inlineStr"/>
      <c r="J274" s="5" t="inlineStr"/>
      <c r="K274" s="5" t="inlineStr"/>
      <c r="L274" s="5" t="inlineStr"/>
    </row>
    <row r="275">
      <c r="A275" s="4" t="inlineStr">
        <is>
          <t>2026265</t>
        </is>
      </c>
      <c r="B275" s="4" t="inlineStr">
        <is>
          <t>Bruno Almeida</t>
        </is>
      </c>
      <c r="C275" s="4" t="inlineStr">
        <is>
          <t>Rua do Córrego</t>
        </is>
      </c>
      <c r="D275" s="4" t="inlineStr">
        <is>
          <t>381</t>
        </is>
      </c>
      <c r="E275" s="4" t="inlineStr">
        <is>
          <t>Sede Urbana</t>
        </is>
      </c>
      <c r="F275" s="4" t="inlineStr">
        <is>
          <t>EMEF Distrito Norte</t>
        </is>
      </c>
      <c r="G275" s="4" t="inlineStr">
        <is>
          <t>Tarde</t>
        </is>
      </c>
      <c r="H275" s="4" t="inlineStr"/>
      <c r="I275" s="4" t="inlineStr"/>
      <c r="J275" s="4" t="n">
        <v>-21.136772</v>
      </c>
      <c r="K275" s="4" t="n">
        <v>-47.796008</v>
      </c>
      <c r="L275" s="4" t="inlineStr"/>
    </row>
    <row r="276">
      <c r="A276" s="5" t="inlineStr">
        <is>
          <t>2026266</t>
        </is>
      </c>
      <c r="B276" s="5" t="inlineStr">
        <is>
          <t>Bruno Barbosa</t>
        </is>
      </c>
      <c r="C276" s="5" t="inlineStr">
        <is>
          <t>Rua Projetada A</t>
        </is>
      </c>
      <c r="D276" s="5" t="inlineStr">
        <is>
          <t>137</t>
        </is>
      </c>
      <c r="E276" s="5" t="inlineStr">
        <is>
          <t>Distrito Norte</t>
        </is>
      </c>
      <c r="F276" s="5" t="inlineStr">
        <is>
          <t>EMEF Centro</t>
        </is>
      </c>
      <c r="G276" s="5" t="inlineStr">
        <is>
          <t>M</t>
        </is>
      </c>
      <c r="H276" s="5" t="inlineStr"/>
      <c r="I276" s="5" t="inlineStr"/>
      <c r="J276" s="5" t="n">
        <v>-21.089717</v>
      </c>
      <c r="K276" s="5" t="n">
        <v>-47.797349</v>
      </c>
      <c r="L276" s="5" t="inlineStr">
        <is>
          <t>porteira fechada, buzinar</t>
        </is>
      </c>
    </row>
    <row r="277">
      <c r="A277" s="4" t="inlineStr">
        <is>
          <t>2026267</t>
        </is>
      </c>
      <c r="B277" s="4" t="inlineStr">
        <is>
          <t>Paulo Martins</t>
        </is>
      </c>
      <c r="C277" s="4" t="inlineStr">
        <is>
          <t>Estrada do Assentamento</t>
        </is>
      </c>
      <c r="D277" s="4" t="inlineStr">
        <is>
          <t>s/n</t>
        </is>
      </c>
      <c r="E277" s="4" t="inlineStr">
        <is>
          <t>Distrito Leste</t>
        </is>
      </c>
      <c r="F277" s="4" t="inlineStr">
        <is>
          <t>EMEF Centro</t>
        </is>
      </c>
      <c r="G277" s="4" t="inlineStr">
        <is>
          <t>M</t>
        </is>
      </c>
      <c r="H277" s="4" t="inlineStr"/>
      <c r="I277" s="4" t="inlineStr"/>
      <c r="J277" s="4" t="inlineStr"/>
      <c r="K277" s="4" t="inlineStr"/>
      <c r="L277" s="4" t="inlineStr">
        <is>
          <t>família mudou de endereço</t>
        </is>
      </c>
    </row>
    <row r="278">
      <c r="A278" s="5" t="inlineStr">
        <is>
          <t>2026268</t>
        </is>
      </c>
      <c r="B278" s="5" t="inlineStr">
        <is>
          <t>Wesley Nascimento</t>
        </is>
      </c>
      <c r="C278" s="5" t="inlineStr">
        <is>
          <t>Av. Central</t>
        </is>
      </c>
      <c r="D278" s="5" t="inlineStr">
        <is>
          <t>s/n</t>
        </is>
      </c>
      <c r="E278" s="5" t="inlineStr">
        <is>
          <t>Vila Rural Sul</t>
        </is>
      </c>
      <c r="F278" s="5" t="inlineStr">
        <is>
          <t>EMEF Centro</t>
        </is>
      </c>
      <c r="G278" s="5" t="inlineStr">
        <is>
          <t>Tarde</t>
        </is>
      </c>
      <c r="H278" s="5" t="inlineStr"/>
      <c r="I278" s="5" t="inlineStr"/>
      <c r="J278" s="5" t="inlineStr"/>
      <c r="K278" s="5" t="inlineStr"/>
      <c r="L278" s="5" t="inlineStr"/>
    </row>
    <row r="279">
      <c r="A279" s="4" t="inlineStr">
        <is>
          <t>2026269</t>
        </is>
      </c>
      <c r="B279" s="4" t="inlineStr">
        <is>
          <t>Carla Rodrigues</t>
        </is>
      </c>
      <c r="C279" s="4" t="inlineStr">
        <is>
          <t>Estrada Municipal RM-040</t>
        </is>
      </c>
      <c r="D279" s="4" t="inlineStr">
        <is>
          <t>893</t>
        </is>
      </c>
      <c r="E279" s="4" t="inlineStr">
        <is>
          <t>Assent. Oeste</t>
        </is>
      </c>
      <c r="F279" s="4" t="inlineStr">
        <is>
          <t>EMEF Centro</t>
        </is>
      </c>
      <c r="G279" s="4" t="inlineStr">
        <is>
          <t>M</t>
        </is>
      </c>
      <c r="H279" s="4" t="inlineStr"/>
      <c r="I279" s="4" t="inlineStr"/>
      <c r="J279" s="4" t="n">
        <v>-21.165736</v>
      </c>
      <c r="K279" s="4" t="n">
        <v>-47.903979</v>
      </c>
      <c r="L279" s="4" t="inlineStr"/>
    </row>
    <row r="280">
      <c r="A280" s="5" t="inlineStr">
        <is>
          <t>2026270</t>
        </is>
      </c>
      <c r="B280" s="5" t="inlineStr">
        <is>
          <t>Bruno Souza</t>
        </is>
      </c>
      <c r="C280" s="5" t="inlineStr">
        <is>
          <t>Estrada do Assentamento</t>
        </is>
      </c>
      <c r="D280" s="5" t="inlineStr">
        <is>
          <t>s/n</t>
        </is>
      </c>
      <c r="E280" s="5" t="inlineStr">
        <is>
          <t>Sede Urbana</t>
        </is>
      </c>
      <c r="F280" s="5" t="inlineStr">
        <is>
          <t>EMEF Centro</t>
        </is>
      </c>
      <c r="G280" s="5" t="inlineStr">
        <is>
          <t>Manhã</t>
        </is>
      </c>
      <c r="H280" s="5" t="inlineStr"/>
      <c r="I280" s="5" t="inlineStr"/>
      <c r="J280" s="5" t="inlineStr"/>
      <c r="K280" s="5" t="inlineStr"/>
      <c r="L280" s="5" t="inlineStr">
        <is>
          <t>mora depois da ponte</t>
        </is>
      </c>
    </row>
    <row r="281">
      <c r="A281" s="4" t="inlineStr">
        <is>
          <t>2026271</t>
        </is>
      </c>
      <c r="B281" s="4" t="inlineStr">
        <is>
          <t>Diego Oliveira</t>
        </is>
      </c>
      <c r="C281" s="4" t="inlineStr">
        <is>
          <t>Travessa São José</t>
        </is>
      </c>
      <c r="D281" s="4" t="inlineStr">
        <is>
          <t>s/n</t>
        </is>
      </c>
      <c r="E281" s="4" t="inlineStr">
        <is>
          <t>Distrito Norte</t>
        </is>
      </c>
      <c r="F281" s="4" t="inlineStr">
        <is>
          <t>EMEF Distrito Norte</t>
        </is>
      </c>
      <c r="G281" s="4" t="inlineStr">
        <is>
          <t>M</t>
        </is>
      </c>
      <c r="H281" s="4" t="inlineStr"/>
      <c r="I281" s="4" t="inlineStr"/>
      <c r="J281" s="4" t="inlineStr"/>
      <c r="K281" s="4" t="inlineStr"/>
      <c r="L281" s="4" t="inlineStr">
        <is>
          <t>estrada ruim em dia de chuva</t>
        </is>
      </c>
    </row>
    <row r="282">
      <c r="A282" s="5" t="inlineStr">
        <is>
          <t>2026272</t>
        </is>
      </c>
      <c r="B282" s="5" t="inlineStr">
        <is>
          <t>Ana Nascimento</t>
        </is>
      </c>
      <c r="C282" s="5" t="inlineStr">
        <is>
          <t>Sítio Boa Vista</t>
        </is>
      </c>
      <c r="D282" s="5" t="inlineStr">
        <is>
          <t>373</t>
        </is>
      </c>
      <c r="E282" s="5" t="inlineStr">
        <is>
          <t>Distrito Leste</t>
        </is>
      </c>
      <c r="F282" s="5" t="inlineStr">
        <is>
          <t>EMEF Distrito Norte</t>
        </is>
      </c>
      <c r="G282" s="5" t="inlineStr">
        <is>
          <t>Vespertino</t>
        </is>
      </c>
      <c r="H282" s="5" t="inlineStr"/>
      <c r="I282" s="5" t="inlineStr"/>
      <c r="J282" s="5" t="n">
        <v>-21.120561</v>
      </c>
      <c r="K282" s="5" t="n">
        <v>-47.747913</v>
      </c>
      <c r="L282" s="5" t="inlineStr">
        <is>
          <t>mora depois da ponte</t>
        </is>
      </c>
    </row>
    <row r="283">
      <c r="A283" s="4" t="inlineStr">
        <is>
          <t>2026273</t>
        </is>
      </c>
      <c r="B283" s="4" t="inlineStr">
        <is>
          <t>Lucas Barbosa</t>
        </is>
      </c>
      <c r="C283" s="4" t="inlineStr">
        <is>
          <t>Linha 3 do Assentamento</t>
        </is>
      </c>
      <c r="D283" s="4" t="inlineStr">
        <is>
          <t>103</t>
        </is>
      </c>
      <c r="E283" s="4" t="inlineStr">
        <is>
          <t>Vila Rural Sul</t>
        </is>
      </c>
      <c r="F283" s="4" t="inlineStr">
        <is>
          <t>EMEF Centro</t>
        </is>
      </c>
      <c r="G283" s="4" t="inlineStr">
        <is>
          <t>Tarde</t>
        </is>
      </c>
      <c r="H283" s="4" t="inlineStr"/>
      <c r="I283" s="4" t="inlineStr"/>
      <c r="J283" s="4" t="n">
        <v>-21.20943</v>
      </c>
      <c r="K283" s="4" t="n">
        <v>-47.857618</v>
      </c>
      <c r="L283" s="4" t="inlineStr"/>
    </row>
    <row r="284">
      <c r="A284" s="5" t="inlineStr">
        <is>
          <t>2026274</t>
        </is>
      </c>
      <c r="B284" s="5" t="inlineStr">
        <is>
          <t>Bruno Pereira</t>
        </is>
      </c>
      <c r="C284" s="5" t="inlineStr">
        <is>
          <t>Linha 3 do Assentamento</t>
        </is>
      </c>
      <c r="D284" s="5" t="inlineStr">
        <is>
          <t>771</t>
        </is>
      </c>
      <c r="E284" s="5" t="inlineStr">
        <is>
          <t>Assent. Oeste</t>
        </is>
      </c>
      <c r="F284" s="5" t="inlineStr">
        <is>
          <t>EMEF Vila Rural Sul</t>
        </is>
      </c>
      <c r="G284" s="5" t="inlineStr">
        <is>
          <t>M</t>
        </is>
      </c>
      <c r="H284" s="5" t="inlineStr"/>
      <c r="I284" s="5" t="inlineStr"/>
      <c r="J284" s="5" t="n">
        <v>-21.136503</v>
      </c>
      <c r="K284" s="5" t="n">
        <v>-47.863587</v>
      </c>
      <c r="L284" s="5" t="inlineStr">
        <is>
          <t>mora depois da ponte</t>
        </is>
      </c>
    </row>
    <row r="285">
      <c r="A285" s="4" t="inlineStr">
        <is>
          <t>2026275</t>
        </is>
      </c>
      <c r="B285" s="4" t="inlineStr">
        <is>
          <t>Yasmin Martins</t>
        </is>
      </c>
      <c r="C285" s="4" t="inlineStr">
        <is>
          <t>Travessa São José</t>
        </is>
      </c>
      <c r="D285" s="4" t="inlineStr">
        <is>
          <t>112</t>
        </is>
      </c>
      <c r="E285" s="4" t="inlineStr">
        <is>
          <t>Sede Urbana</t>
        </is>
      </c>
      <c r="F285" s="4" t="inlineStr">
        <is>
          <t>EMEF Centro</t>
        </is>
      </c>
      <c r="G285" s="4" t="inlineStr">
        <is>
          <t>Manhã</t>
        </is>
      </c>
      <c r="H285" s="4" t="inlineStr"/>
      <c r="I285" s="4" t="inlineStr"/>
      <c r="J285" s="4" t="n">
        <v>-21.137216</v>
      </c>
      <c r="K285" s="4" t="n">
        <v>-47.813001</v>
      </c>
      <c r="L285" s="4" t="inlineStr"/>
    </row>
    <row r="286">
      <c r="A286" s="5" t="inlineStr">
        <is>
          <t>2026276</t>
        </is>
      </c>
      <c r="B286" s="5" t="inlineStr">
        <is>
          <t>JOÃO COSTA</t>
        </is>
      </c>
      <c r="C286" s="5" t="inlineStr">
        <is>
          <t>Estrada do Assentamento</t>
        </is>
      </c>
      <c r="D286" s="5" t="inlineStr">
        <is>
          <t>811</t>
        </is>
      </c>
      <c r="E286" s="5" t="inlineStr">
        <is>
          <t>Distrito Norte</t>
        </is>
      </c>
      <c r="F286" s="5" t="inlineStr">
        <is>
          <t>EMEF Centro</t>
        </is>
      </c>
      <c r="G286" s="5" t="inlineStr">
        <is>
          <t>T</t>
        </is>
      </c>
      <c r="H286" s="5" t="inlineStr">
        <is>
          <t>NÃO</t>
        </is>
      </c>
      <c r="I286" s="5" t="inlineStr"/>
      <c r="J286" s="5" t="n">
        <v>-21.112657</v>
      </c>
      <c r="K286" s="5" t="n">
        <v>-47.783329</v>
      </c>
      <c r="L286" s="5" t="inlineStr"/>
    </row>
    <row r="287">
      <c r="A287" s="4" t="inlineStr">
        <is>
          <t>2026277</t>
        </is>
      </c>
      <c r="B287" s="4" t="inlineStr">
        <is>
          <t>Diego Silva</t>
        </is>
      </c>
      <c r="C287" s="4" t="inlineStr">
        <is>
          <t>Linha 3 do Assentamento</t>
        </is>
      </c>
      <c r="D287" s="4" t="inlineStr">
        <is>
          <t>s/n</t>
        </is>
      </c>
      <c r="E287" s="4" t="inlineStr">
        <is>
          <t>Distrito Leste</t>
        </is>
      </c>
      <c r="F287" s="4" t="inlineStr">
        <is>
          <t>EMEF Centro</t>
        </is>
      </c>
      <c r="G287" s="4" t="inlineStr">
        <is>
          <t>T</t>
        </is>
      </c>
      <c r="H287" s="4" t="inlineStr"/>
      <c r="I287" s="4" t="inlineStr"/>
      <c r="J287" s="4" t="inlineStr"/>
      <c r="K287" s="4" t="inlineStr"/>
      <c r="L287" s="4" t="inlineStr">
        <is>
          <t>mora depois da ponte</t>
        </is>
      </c>
    </row>
    <row r="288">
      <c r="A288" s="5" t="inlineStr">
        <is>
          <t>2026278</t>
        </is>
      </c>
      <c r="B288" s="5" t="inlineStr">
        <is>
          <t>Diego Ferreira</t>
        </is>
      </c>
      <c r="C288" s="5" t="inlineStr">
        <is>
          <t>Travessa São José</t>
        </is>
      </c>
      <c r="D288" s="5" t="inlineStr">
        <is>
          <t>s/n</t>
        </is>
      </c>
      <c r="E288" s="5" t="inlineStr">
        <is>
          <t>Vila Rural Sul</t>
        </is>
      </c>
      <c r="F288" s="5" t="inlineStr">
        <is>
          <t>EMEF Centro</t>
        </is>
      </c>
      <c r="G288" s="5" t="inlineStr">
        <is>
          <t>Manhã</t>
        </is>
      </c>
      <c r="H288" s="5" t="inlineStr"/>
      <c r="I288" s="5" t="inlineStr"/>
      <c r="J288" s="5" t="inlineStr"/>
      <c r="K288" s="5" t="inlineStr"/>
      <c r="L288" s="5" t="inlineStr"/>
    </row>
    <row r="289">
      <c r="A289" s="4" t="inlineStr">
        <is>
          <t>2026279</t>
        </is>
      </c>
      <c r="B289" s="4" t="inlineStr">
        <is>
          <t xml:space="preserve">  Diego Gomes </t>
        </is>
      </c>
      <c r="C289" s="4" t="inlineStr">
        <is>
          <t>Linha 3 do Assentamento</t>
        </is>
      </c>
      <c r="D289" s="4" t="inlineStr">
        <is>
          <t>499</t>
        </is>
      </c>
      <c r="E289" s="4" t="inlineStr">
        <is>
          <t>Assent. Oeste</t>
        </is>
      </c>
      <c r="F289" s="4" t="inlineStr">
        <is>
          <t>EMEF Vila Rural Sul</t>
        </is>
      </c>
      <c r="G289" s="4" t="inlineStr">
        <is>
          <t>manha</t>
        </is>
      </c>
      <c r="H289" s="4" t="inlineStr"/>
      <c r="I289" s="4" t="inlineStr"/>
      <c r="J289" s="4" t="n">
        <v>-21.203411</v>
      </c>
      <c r="K289" s="4" t="n">
        <v>-47.915982</v>
      </c>
      <c r="L289" s="4" t="inlineStr"/>
    </row>
    <row r="290">
      <c r="A290" s="5" t="inlineStr">
        <is>
          <t>2026280</t>
        </is>
      </c>
      <c r="B290" s="5" t="inlineStr">
        <is>
          <t>Diego Barbosa</t>
        </is>
      </c>
      <c r="C290" s="5" t="inlineStr">
        <is>
          <t>Sítio Boa Vista</t>
        </is>
      </c>
      <c r="D290" s="5" t="inlineStr">
        <is>
          <t>880</t>
        </is>
      </c>
      <c r="E290" s="5" t="inlineStr">
        <is>
          <t>Sede Urbana</t>
        </is>
      </c>
      <c r="F290" s="5" t="inlineStr">
        <is>
          <t>EMEF Centro</t>
        </is>
      </c>
      <c r="G290" s="5" t="inlineStr">
        <is>
          <t>MAT</t>
        </is>
      </c>
      <c r="H290" s="5" t="inlineStr">
        <is>
          <t>-</t>
        </is>
      </c>
      <c r="I290" s="5" t="inlineStr"/>
      <c r="J290" s="5" t="n">
        <v>-21.153261</v>
      </c>
      <c r="K290" s="5" t="n">
        <v>-47.811396</v>
      </c>
      <c r="L290" s="5" t="inlineStr"/>
    </row>
    <row r="291">
      <c r="A291" s="4" t="inlineStr">
        <is>
          <t>2026281</t>
        </is>
      </c>
      <c r="B291" s="4" t="inlineStr">
        <is>
          <t>Marina Araújo</t>
        </is>
      </c>
      <c r="C291" s="4" t="inlineStr">
        <is>
          <t>Estrada Municipal RM-040</t>
        </is>
      </c>
      <c r="D291" s="4" t="inlineStr">
        <is>
          <t>649</t>
        </is>
      </c>
      <c r="E291" s="4" t="inlineStr">
        <is>
          <t>Distrito Norte</t>
        </is>
      </c>
      <c r="F291" s="4" t="inlineStr">
        <is>
          <t>EMEF Centro</t>
        </is>
      </c>
      <c r="G291" s="4" t="inlineStr">
        <is>
          <t>T</t>
        </is>
      </c>
      <c r="H291" s="4" t="inlineStr"/>
      <c r="I291" s="4" t="inlineStr"/>
      <c r="J291" s="4" t="n">
        <v>-21.098978</v>
      </c>
      <c r="K291" s="4" t="n">
        <v>-47.766848</v>
      </c>
      <c r="L291" s="4" t="inlineStr"/>
    </row>
    <row r="292">
      <c r="A292" s="5" t="inlineStr">
        <is>
          <t>2026282</t>
        </is>
      </c>
      <c r="B292" s="5" t="inlineStr">
        <is>
          <t>Ivone Martins</t>
        </is>
      </c>
      <c r="C292" s="5" t="inlineStr">
        <is>
          <t>Estrada Municipal RM-040</t>
        </is>
      </c>
      <c r="D292" s="5" t="inlineStr">
        <is>
          <t>226</t>
        </is>
      </c>
      <c r="E292" s="5" t="inlineStr">
        <is>
          <t>Distrito Leste</t>
        </is>
      </c>
      <c r="F292" s="5" t="inlineStr">
        <is>
          <t>EMEF Vila Rural Sul</t>
        </is>
      </c>
      <c r="G292" s="5" t="inlineStr">
        <is>
          <t>Tarde</t>
        </is>
      </c>
      <c r="H292" s="5" t="inlineStr">
        <is>
          <t>NÃO</t>
        </is>
      </c>
      <c r="I292" s="5" t="inlineStr">
        <is>
          <t>sim</t>
        </is>
      </c>
      <c r="J292" s="5" t="n">
        <v>-21.137579</v>
      </c>
      <c r="K292" s="5" t="n">
        <v>-47.703175</v>
      </c>
      <c r="L292" s="5" t="inlineStr"/>
    </row>
    <row r="293">
      <c r="A293" s="4" t="inlineStr">
        <is>
          <t>2026283</t>
        </is>
      </c>
      <c r="B293" s="4" t="inlineStr">
        <is>
          <t>Sônia Silva</t>
        </is>
      </c>
      <c r="C293" s="4" t="inlineStr">
        <is>
          <t>Linha 3 do Assentamento</t>
        </is>
      </c>
      <c r="D293" s="4" t="inlineStr">
        <is>
          <t>269</t>
        </is>
      </c>
      <c r="E293" s="4" t="inlineStr">
        <is>
          <t>Vila Rural Sul</t>
        </is>
      </c>
      <c r="F293" s="4" t="inlineStr">
        <is>
          <t>EMEF Vila Rural Sul</t>
        </is>
      </c>
      <c r="G293" s="4" t="inlineStr">
        <is>
          <t>manha</t>
        </is>
      </c>
      <c r="H293" s="4" t="inlineStr"/>
      <c r="I293" s="4" t="inlineStr"/>
      <c r="J293" s="4" t="n">
        <v>-21.247878</v>
      </c>
      <c r="K293" s="4" t="n">
        <v>-47.853015</v>
      </c>
      <c r="L293" s="4" t="inlineStr"/>
    </row>
    <row r="294">
      <c r="A294" s="5" t="inlineStr">
        <is>
          <t>2026284</t>
        </is>
      </c>
      <c r="B294" s="5" t="inlineStr">
        <is>
          <t>João Barbosa</t>
        </is>
      </c>
      <c r="C294" s="5" t="inlineStr">
        <is>
          <t>Travessa São José</t>
        </is>
      </c>
      <c r="D294" s="5" t="inlineStr">
        <is>
          <t>692</t>
        </is>
      </c>
      <c r="E294" s="5" t="inlineStr">
        <is>
          <t>Assent. Oeste</t>
        </is>
      </c>
      <c r="F294" s="5" t="inlineStr">
        <is>
          <t>EMEF Centro</t>
        </is>
      </c>
      <c r="G294" s="5" t="inlineStr">
        <is>
          <t>T</t>
        </is>
      </c>
      <c r="H294" s="5" t="inlineStr">
        <is>
          <t>não</t>
        </is>
      </c>
      <c r="I294" s="5" t="inlineStr">
        <is>
          <t>sim</t>
        </is>
      </c>
      <c r="J294" s="5" t="n">
        <v>-21.204981</v>
      </c>
      <c r="K294" s="5" t="n">
        <v>-47.883102</v>
      </c>
      <c r="L294" s="5" t="inlineStr"/>
    </row>
    <row r="295">
      <c r="A295" s="4" t="inlineStr">
        <is>
          <t>2026285</t>
        </is>
      </c>
      <c r="B295" s="4" t="inlineStr">
        <is>
          <t>Sônia Ribeiro</t>
        </is>
      </c>
      <c r="C295" s="4" t="inlineStr">
        <is>
          <t>Estrada Municipal RM-040</t>
        </is>
      </c>
      <c r="D295" s="4" t="inlineStr">
        <is>
          <t>410</t>
        </is>
      </c>
      <c r="E295" s="4" t="inlineStr">
        <is>
          <t>Sede Urbana</t>
        </is>
      </c>
      <c r="F295" s="4" t="inlineStr">
        <is>
          <t>EMEF Vila Rural Sul</t>
        </is>
      </c>
      <c r="G295" s="4" t="inlineStr">
        <is>
          <t>Tarde</t>
        </is>
      </c>
      <c r="H295" s="4" t="inlineStr"/>
      <c r="I295" s="4" t="inlineStr"/>
      <c r="J295" s="4" t="n">
        <v>-21.162827</v>
      </c>
      <c r="K295" s="4" t="n">
        <v>-47.81649</v>
      </c>
      <c r="L295" s="4" t="inlineStr">
        <is>
          <t>porteira fechada, buzinar</t>
        </is>
      </c>
    </row>
    <row r="296">
      <c r="A296" s="5" t="inlineStr">
        <is>
          <t>2026286</t>
        </is>
      </c>
      <c r="B296" s="5" t="inlineStr">
        <is>
          <t>Bruno Ribeiro</t>
        </is>
      </c>
      <c r="C296" s="5" t="inlineStr">
        <is>
          <t>Estrada Municipal RM-040</t>
        </is>
      </c>
      <c r="D296" s="5" t="inlineStr">
        <is>
          <t>594</t>
        </is>
      </c>
      <c r="E296" s="5" t="inlineStr">
        <is>
          <t>Distrito Norte</t>
        </is>
      </c>
      <c r="F296" s="5" t="inlineStr">
        <is>
          <t>EMEF Distrito Norte</t>
        </is>
      </c>
      <c r="G296" s="5" t="inlineStr">
        <is>
          <t xml:space="preserve">tarde </t>
        </is>
      </c>
      <c r="H296" s="5" t="inlineStr"/>
      <c r="I296" s="5" t="inlineStr"/>
      <c r="J296" s="5" t="n">
        <v>-21.102852</v>
      </c>
      <c r="K296" s="5" t="n">
        <v>-47.778172</v>
      </c>
      <c r="L296" s="5" t="inlineStr">
        <is>
          <t>mora depois da ponte</t>
        </is>
      </c>
    </row>
    <row r="297">
      <c r="A297" s="4" t="inlineStr">
        <is>
          <t>2026287</t>
        </is>
      </c>
      <c r="B297" s="4" t="inlineStr">
        <is>
          <t>Karina Rodrigues</t>
        </is>
      </c>
      <c r="C297" s="4" t="inlineStr">
        <is>
          <t>Rua das Acácias</t>
        </is>
      </c>
      <c r="D297" s="4" t="inlineStr">
        <is>
          <t>115</t>
        </is>
      </c>
      <c r="E297" s="4" t="inlineStr">
        <is>
          <t>Distrito Leste</t>
        </is>
      </c>
      <c r="F297" s="4" t="inlineStr">
        <is>
          <t>EMEF Centro</t>
        </is>
      </c>
      <c r="G297" s="4" t="inlineStr">
        <is>
          <t>Manhã</t>
        </is>
      </c>
      <c r="H297" s="4" t="inlineStr"/>
      <c r="I297" s="4" t="inlineStr"/>
      <c r="J297" s="4" t="n">
        <v>-21.127763</v>
      </c>
      <c r="K297" s="4" t="n">
        <v>-47.705835</v>
      </c>
      <c r="L297" s="4" t="inlineStr"/>
    </row>
    <row r="298">
      <c r="A298" s="5" t="inlineStr">
        <is>
          <t>2026288</t>
        </is>
      </c>
      <c r="B298" s="5" t="inlineStr">
        <is>
          <t>Bruno Nascimento</t>
        </is>
      </c>
      <c r="C298" s="5" t="inlineStr">
        <is>
          <t>Rua das Acácias</t>
        </is>
      </c>
      <c r="D298" s="5" t="inlineStr">
        <is>
          <t>s/n</t>
        </is>
      </c>
      <c r="E298" s="5" t="inlineStr">
        <is>
          <t>Vila Rural Sul</t>
        </is>
      </c>
      <c r="F298" s="5" t="inlineStr">
        <is>
          <t>EMEF Vila Rural Sul</t>
        </is>
      </c>
      <c r="G298" s="5" t="inlineStr">
        <is>
          <t>MAT</t>
        </is>
      </c>
      <c r="H298" s="5" t="inlineStr"/>
      <c r="I298" s="5" t="inlineStr"/>
      <c r="J298" s="5" t="inlineStr"/>
      <c r="K298" s="5" t="inlineStr"/>
      <c r="L298" s="5" t="inlineStr"/>
    </row>
    <row r="299">
      <c r="A299" s="4" t="inlineStr">
        <is>
          <t>2026289</t>
        </is>
      </c>
      <c r="B299" s="4" t="inlineStr">
        <is>
          <t>Ana Souza</t>
        </is>
      </c>
      <c r="C299" s="4" t="inlineStr">
        <is>
          <t>Rua do Córrego</t>
        </is>
      </c>
      <c r="D299" s="4" t="inlineStr">
        <is>
          <t>173</t>
        </is>
      </c>
      <c r="E299" s="4" t="inlineStr">
        <is>
          <t>Assent. Oeste</t>
        </is>
      </c>
      <c r="F299" s="4" t="inlineStr">
        <is>
          <t>EMEF Centro</t>
        </is>
      </c>
      <c r="G299" s="4" t="inlineStr">
        <is>
          <t>Tarde</t>
        </is>
      </c>
      <c r="H299" s="4" t="inlineStr"/>
      <c r="I299" s="4" t="inlineStr"/>
      <c r="J299" s="4" t="n">
        <v>-21.138136</v>
      </c>
      <c r="K299" s="4" t="n">
        <v>-47.915091</v>
      </c>
      <c r="L299" s="4" t="inlineStr">
        <is>
          <t>porteira fechada, buzinar</t>
        </is>
      </c>
    </row>
    <row r="300">
      <c r="A300" s="5" t="inlineStr">
        <is>
          <t>2026290</t>
        </is>
      </c>
      <c r="B300" s="5" t="inlineStr">
        <is>
          <t>Sônia Martins</t>
        </is>
      </c>
      <c r="C300" s="5" t="inlineStr">
        <is>
          <t>Estrada Municipal RM-040</t>
        </is>
      </c>
      <c r="D300" s="5" t="inlineStr">
        <is>
          <t>s/n</t>
        </is>
      </c>
      <c r="E300" s="5" t="inlineStr">
        <is>
          <t>Sede Urbana</t>
        </is>
      </c>
      <c r="F300" s="5" t="inlineStr">
        <is>
          <t>EMEF Distrito Norte</t>
        </is>
      </c>
      <c r="G300" s="5" t="inlineStr">
        <is>
          <t>manha</t>
        </is>
      </c>
      <c r="H300" s="5" t="inlineStr"/>
      <c r="I300" s="5" t="inlineStr"/>
      <c r="J300" s="5" t="inlineStr"/>
      <c r="K300" s="5" t="inlineStr"/>
      <c r="L300" s="5" t="inlineStr"/>
    </row>
    <row r="301">
      <c r="A301" s="4" t="inlineStr">
        <is>
          <t>2026291</t>
        </is>
      </c>
      <c r="B301" s="4" t="inlineStr">
        <is>
          <t>Gabriela Souza</t>
        </is>
      </c>
      <c r="C301" s="4" t="inlineStr">
        <is>
          <t>Av. Central</t>
        </is>
      </c>
      <c r="D301" s="4" t="inlineStr">
        <is>
          <t>438</t>
        </is>
      </c>
      <c r="E301" s="4" t="inlineStr">
        <is>
          <t>Distrito Norte</t>
        </is>
      </c>
      <c r="F301" s="4" t="inlineStr">
        <is>
          <t>EMEF Distrito Norte</t>
        </is>
      </c>
      <c r="G301" s="4" t="inlineStr">
        <is>
          <t>Tarde</t>
        </is>
      </c>
      <c r="H301" s="4" t="inlineStr"/>
      <c r="I301" s="4" t="inlineStr"/>
      <c r="J301" s="4" t="n">
        <v>-13.061855</v>
      </c>
      <c r="K301" s="4" t="n">
        <v>-47.799699</v>
      </c>
      <c r="L301" s="4" t="inlineStr">
        <is>
          <t>família mudou de endereço</t>
        </is>
      </c>
    </row>
    <row r="302">
      <c r="A302" s="5" t="inlineStr">
        <is>
          <t>2026292</t>
        </is>
      </c>
      <c r="B302" s="5" t="inlineStr">
        <is>
          <t>Nelson Ferreira</t>
        </is>
      </c>
      <c r="C302" s="5" t="inlineStr">
        <is>
          <t>Sítio Boa Vista</t>
        </is>
      </c>
      <c r="D302" s="5" t="inlineStr">
        <is>
          <t>880</t>
        </is>
      </c>
      <c r="E302" s="5" t="inlineStr">
        <is>
          <t>Distrito Leste</t>
        </is>
      </c>
      <c r="F302" s="5" t="inlineStr">
        <is>
          <t>EMEF Distrito Norte</t>
        </is>
      </c>
      <c r="G302" s="5" t="inlineStr">
        <is>
          <t>MAT</t>
        </is>
      </c>
      <c r="H302" s="5" t="inlineStr"/>
      <c r="I302" s="5" t="inlineStr"/>
      <c r="J302" s="5" t="n">
        <v>-21.159965</v>
      </c>
      <c r="K302" s="5" t="n">
        <v>-47.751523</v>
      </c>
      <c r="L302" s="5" t="inlineStr">
        <is>
          <t>mora depois da ponte</t>
        </is>
      </c>
    </row>
    <row r="303">
      <c r="A303" s="4" t="inlineStr">
        <is>
          <t>2026293</t>
        </is>
      </c>
      <c r="B303" s="4" t="inlineStr">
        <is>
          <t>Úrsula Almeida</t>
        </is>
      </c>
      <c r="C303" s="4" t="inlineStr">
        <is>
          <t>Sítio Boa Vista</t>
        </is>
      </c>
      <c r="D303" s="4" t="inlineStr">
        <is>
          <t>s/n</t>
        </is>
      </c>
      <c r="E303" s="4" t="inlineStr">
        <is>
          <t>Vila Rural Sul</t>
        </is>
      </c>
      <c r="F303" s="4" t="inlineStr">
        <is>
          <t>EMEF Vila Rural Sul</t>
        </is>
      </c>
      <c r="G303" s="4" t="inlineStr">
        <is>
          <t xml:space="preserve">tarde </t>
        </is>
      </c>
      <c r="H303" s="4" t="inlineStr"/>
      <c r="I303" s="4" t="inlineStr"/>
      <c r="J303" s="4" t="inlineStr"/>
      <c r="K303" s="4" t="inlineStr"/>
      <c r="L303" s="4" t="inlineStr"/>
    </row>
    <row r="304">
      <c r="A304" s="5" t="inlineStr">
        <is>
          <t>2026294</t>
        </is>
      </c>
      <c r="B304" s="5" t="inlineStr">
        <is>
          <t>Olívia Ferreira</t>
        </is>
      </c>
      <c r="C304" s="5" t="inlineStr">
        <is>
          <t>Estrada do Assentamento</t>
        </is>
      </c>
      <c r="D304" s="5" t="inlineStr">
        <is>
          <t>741</t>
        </is>
      </c>
      <c r="E304" s="5" t="inlineStr">
        <is>
          <t>Assent. Oeste</t>
        </is>
      </c>
      <c r="F304" s="5" t="inlineStr">
        <is>
          <t>EMEF Centro</t>
        </is>
      </c>
      <c r="G304" s="5" t="inlineStr">
        <is>
          <t xml:space="preserve">tarde </t>
        </is>
      </c>
      <c r="H304" s="5" t="inlineStr"/>
      <c r="I304" s="5" t="inlineStr"/>
      <c r="J304" s="5" t="n">
        <v>-21.186421</v>
      </c>
      <c r="K304" s="5" t="n">
        <v>-47.851203</v>
      </c>
      <c r="L304" s="5" t="inlineStr"/>
    </row>
    <row r="305">
      <c r="A305" s="4" t="inlineStr">
        <is>
          <t>2026295</t>
        </is>
      </c>
      <c r="B305" s="4" t="inlineStr">
        <is>
          <t>Wesley Martins</t>
        </is>
      </c>
      <c r="C305" s="4" t="inlineStr">
        <is>
          <t>Rua das Acácias</t>
        </is>
      </c>
      <c r="D305" s="4" t="inlineStr">
        <is>
          <t>614</t>
        </is>
      </c>
      <c r="E305" s="4" t="inlineStr">
        <is>
          <t>Sede Urbana</t>
        </is>
      </c>
      <c r="F305" s="4" t="inlineStr">
        <is>
          <t>EMEF Centro</t>
        </is>
      </c>
      <c r="G305" s="4" t="inlineStr">
        <is>
          <t>Manhã</t>
        </is>
      </c>
      <c r="H305" s="4" t="inlineStr"/>
      <c r="I305" s="4" t="inlineStr"/>
      <c r="J305" s="4" t="n">
        <v>-21.150562</v>
      </c>
      <c r="K305" s="4" t="n">
        <v>-47.789344</v>
      </c>
      <c r="L305" s="4" t="inlineStr"/>
    </row>
    <row r="306">
      <c r="A306" s="5" t="inlineStr">
        <is>
          <t>2026296</t>
        </is>
      </c>
      <c r="B306" s="5" t="inlineStr">
        <is>
          <t>Gabriela Costa</t>
        </is>
      </c>
      <c r="C306" s="5" t="inlineStr">
        <is>
          <t>Rua do Córrego</t>
        </is>
      </c>
      <c r="D306" s="5" t="inlineStr">
        <is>
          <t>352</t>
        </is>
      </c>
      <c r="E306" s="5" t="inlineStr">
        <is>
          <t>Distrito Norte</t>
        </is>
      </c>
      <c r="F306" s="5" t="inlineStr">
        <is>
          <t>EMEF Centro</t>
        </is>
      </c>
      <c r="G306" s="5" t="inlineStr">
        <is>
          <t xml:space="preserve">tarde </t>
        </is>
      </c>
      <c r="H306" s="5" t="inlineStr"/>
      <c r="I306" s="5" t="inlineStr"/>
      <c r="J306" s="5" t="n">
        <v>-21.085494</v>
      </c>
      <c r="K306" s="5" t="n">
        <v>-47.780213</v>
      </c>
      <c r="L306" s="5" t="inlineStr">
        <is>
          <t>porteira fechada, buzinar</t>
        </is>
      </c>
    </row>
    <row r="307">
      <c r="A307" s="4" t="inlineStr">
        <is>
          <t>2026297</t>
        </is>
      </c>
      <c r="B307" s="4" t="inlineStr">
        <is>
          <t>Ivone Ribeiro</t>
        </is>
      </c>
      <c r="C307" s="4" t="inlineStr">
        <is>
          <t>Linha 3 do Assentamento</t>
        </is>
      </c>
      <c r="D307" s="4" t="inlineStr">
        <is>
          <t>106</t>
        </is>
      </c>
      <c r="E307" s="4" t="inlineStr">
        <is>
          <t>Distrito Leste</t>
        </is>
      </c>
      <c r="F307" s="4" t="inlineStr">
        <is>
          <t>EMEF Distrito Norte</t>
        </is>
      </c>
      <c r="G307" s="4" t="inlineStr">
        <is>
          <t>Vespertino</t>
        </is>
      </c>
      <c r="H307" s="4" t="inlineStr"/>
      <c r="I307" s="4" t="inlineStr"/>
      <c r="J307" s="4" t="n">
        <v>-21.165642</v>
      </c>
      <c r="K307" s="4" t="n">
        <v>-47.703956</v>
      </c>
      <c r="L307" s="4" t="inlineStr"/>
    </row>
    <row r="308">
      <c r="A308" s="5" t="inlineStr">
        <is>
          <t>2026298</t>
        </is>
      </c>
      <c r="B308" s="5" t="inlineStr">
        <is>
          <t>Bruno Pereira</t>
        </is>
      </c>
      <c r="C308" s="5" t="inlineStr">
        <is>
          <t>Travessa São José</t>
        </is>
      </c>
      <c r="D308" s="5" t="inlineStr">
        <is>
          <t>103</t>
        </is>
      </c>
      <c r="E308" s="5" t="inlineStr">
        <is>
          <t>Vila Rural Sul</t>
        </is>
      </c>
      <c r="F308" s="5" t="inlineStr">
        <is>
          <t>EMEF Centro</t>
        </is>
      </c>
      <c r="G308" s="5" t="inlineStr">
        <is>
          <t>manha</t>
        </is>
      </c>
      <c r="H308" s="5" t="inlineStr">
        <is>
          <t>-</t>
        </is>
      </c>
      <c r="I308" s="5" t="inlineStr"/>
      <c r="J308" s="5" t="n">
        <v>-21.178711</v>
      </c>
      <c r="K308" s="5" t="n">
        <v>-47.870294</v>
      </c>
      <c r="L308" s="5" t="inlineStr"/>
    </row>
    <row r="309">
      <c r="A309" s="4" t="inlineStr">
        <is>
          <t>2026299</t>
        </is>
      </c>
      <c r="B309" s="4" t="inlineStr">
        <is>
          <t>QUEILA BARBOSA</t>
        </is>
      </c>
      <c r="C309" s="4" t="inlineStr">
        <is>
          <t>Rua das Acácias</t>
        </is>
      </c>
      <c r="D309" s="4" t="inlineStr">
        <is>
          <t>243</t>
        </is>
      </c>
      <c r="E309" s="4" t="inlineStr">
        <is>
          <t>Assent. Oeste</t>
        </is>
      </c>
      <c r="F309" s="4" t="inlineStr">
        <is>
          <t>EMEF Distrito Norte</t>
        </is>
      </c>
      <c r="G309" s="4" t="inlineStr">
        <is>
          <t>M</t>
        </is>
      </c>
      <c r="H309" s="4" t="inlineStr"/>
      <c r="I309" s="4" t="inlineStr"/>
      <c r="J309" s="4" t="n">
        <v>-21.141214</v>
      </c>
      <c r="K309" s="4" t="n">
        <v>-47.874693</v>
      </c>
      <c r="L309" s="4" t="inlineStr">
        <is>
          <t>mora depois da ponte</t>
        </is>
      </c>
    </row>
    <row r="311">
      <c r="A311" s="6" t="inlineStr">
        <is>
          <t>TOTAL DE ALUNOS</t>
        </is>
      </c>
      <c r="B311" s="6">
        <f>COUNTA(B5:B309)</f>
        <v/>
      </c>
    </row>
    <row r="312">
      <c r="A312" s="7" t="inlineStr">
        <is>
          <t>Conferido por: ______________________  Data: ___/___/____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6" customWidth="1" min="3" max="3"/>
    <col width="12" customWidth="1" min="4" max="4"/>
    <col width="15" customWidth="1" min="5" max="5"/>
  </cols>
  <sheetData>
    <row r="1">
      <c r="A1" s="8" t="inlineStr">
        <is>
          <t>Frota contratada / própria — Transporte Escolar 2026</t>
        </is>
      </c>
    </row>
    <row r="3" ht="30" customHeight="1">
      <c r="A3" s="3" t="inlineStr">
        <is>
          <t>Tipo de veículo</t>
        </is>
      </c>
      <c r="B3" s="3" t="inlineStr">
        <is>
          <t>Lugares</t>
        </is>
      </c>
      <c r="C3" s="3" t="inlineStr">
        <is>
          <t>Posições de cadeira de rodas</t>
        </is>
      </c>
      <c r="D3" s="3" t="inlineStr">
        <is>
          <t>Quantidade</t>
        </is>
      </c>
      <c r="E3" s="3" t="inlineStr">
        <is>
          <t>Lugares totais</t>
        </is>
      </c>
    </row>
    <row r="4">
      <c r="A4" s="4" t="inlineStr">
        <is>
          <t>Ônibus escolar 31 lugares</t>
        </is>
      </c>
      <c r="B4" s="4" t="n">
        <v>31</v>
      </c>
      <c r="C4" s="4" t="n">
        <v>0</v>
      </c>
      <c r="D4" s="4" t="n">
        <v>17</v>
      </c>
      <c r="E4" s="4">
        <f>B4*D4</f>
        <v/>
      </c>
    </row>
    <row r="5">
      <c r="A5" s="4" t="inlineStr">
        <is>
          <t>Micro-ônibus 20 lugares</t>
        </is>
      </c>
      <c r="B5" s="4" t="n">
        <v>20</v>
      </c>
      <c r="C5" s="4" t="n">
        <v>0</v>
      </c>
      <c r="D5" s="4" t="n">
        <v>10</v>
      </c>
      <c r="E5" s="4">
        <f>B5*D5</f>
        <v/>
      </c>
    </row>
    <row r="6">
      <c r="A6" s="4" t="inlineStr">
        <is>
          <t>Van acessível 15 lugares</t>
        </is>
      </c>
      <c r="B6" s="4" t="n">
        <v>15</v>
      </c>
      <c r="C6" s="4" t="n">
        <v>2</v>
      </c>
      <c r="D6" s="4" t="n">
        <v>3</v>
      </c>
      <c r="E6" s="4">
        <f>B6*D6</f>
        <v/>
      </c>
    </row>
    <row r="7">
      <c r="A7" s="6" t="inlineStr">
        <is>
          <t>TOTAL</t>
        </is>
      </c>
      <c r="D7" s="6">
        <f>SUM(D4:D6)</f>
        <v/>
      </c>
      <c r="E7" s="6">
        <f>SUM(E4:E6)</f>
        <v/>
      </c>
    </row>
    <row r="9">
      <c r="A9" s="7" t="inlineStr">
        <is>
          <t>Quilometragem declarada: 4.386 km/dia (relatório PNATE)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2026-08-22T19:25:54Z</dcterms:created>
  <dcterms:modified xsi:type="dcterms:W3CDTF">2026-08-22T19:25:55Z</dcterms:modified>
</cp:coreProperties>
</file>